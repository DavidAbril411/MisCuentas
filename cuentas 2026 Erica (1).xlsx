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Usuario\Downloads\"/>
    </mc:Choice>
  </mc:AlternateContent>
  <bookViews>
    <workbookView xWindow="0" yWindow="0" windowWidth="15345" windowHeight="4560" activeTab="4"/>
  </bookViews>
  <sheets>
    <sheet name="Gastos" sheetId="1" r:id="rId1"/>
    <sheet name="Naranja" sheetId="2" r:id="rId2"/>
    <sheet name="cuentas y claves" sheetId="3" r:id="rId3"/>
    <sheet name="Ahorros" sheetId="4" r:id="rId4"/>
    <sheet name="Gastos personales Erica" sheetId="5" r:id="rId5"/>
  </sheets>
  <definedNames>
    <definedName name="a">Naranja!$1:$1048576</definedName>
  </definedNames>
  <calcPr calcId="162913"/>
</workbook>
</file>

<file path=xl/calcChain.xml><?xml version="1.0" encoding="utf-8"?>
<calcChain xmlns="http://schemas.openxmlformats.org/spreadsheetml/2006/main">
  <c r="G17" i="2" l="1"/>
  <c r="G50" i="2"/>
  <c r="E11" i="1" l="1"/>
  <c r="D11" i="1"/>
  <c r="C11" i="1"/>
  <c r="B11" i="1"/>
  <c r="F11" i="1"/>
  <c r="B14" i="1"/>
  <c r="C14" i="1"/>
  <c r="M72" i="2"/>
  <c r="J73" i="2"/>
  <c r="M17" i="2"/>
  <c r="M50" i="2" s="1"/>
  <c r="L17" i="2"/>
  <c r="L50" i="2" s="1"/>
  <c r="K17" i="2"/>
  <c r="K50" i="2" s="1"/>
  <c r="J17" i="2"/>
  <c r="J50" i="2" s="1"/>
  <c r="I17" i="2"/>
  <c r="I50" i="2" s="1"/>
  <c r="H17" i="2"/>
  <c r="H50" i="2" s="1"/>
  <c r="F17" i="2"/>
  <c r="F50" i="2" s="1"/>
  <c r="E17" i="2"/>
  <c r="E50" i="2" s="1"/>
  <c r="D17" i="2"/>
  <c r="D50" i="2" s="1"/>
  <c r="C17" i="2"/>
  <c r="C50" i="2" s="1"/>
  <c r="B17" i="2"/>
  <c r="B50" i="2" s="1"/>
  <c r="E14" i="1"/>
  <c r="D14" i="1"/>
  <c r="M11" i="1"/>
  <c r="M14" i="1" s="1"/>
  <c r="L11" i="1"/>
  <c r="L14" i="1" s="1"/>
  <c r="K11" i="1"/>
  <c r="K14" i="1" s="1"/>
  <c r="J11" i="1"/>
  <c r="J14" i="1" s="1"/>
  <c r="I11" i="1"/>
  <c r="I14" i="1" s="1"/>
  <c r="H11" i="1"/>
  <c r="H14" i="1" s="1"/>
  <c r="G11" i="1"/>
  <c r="G14" i="1" s="1"/>
  <c r="F14" i="1"/>
</calcChain>
</file>

<file path=xl/comments1.xml><?xml version="1.0" encoding="utf-8"?>
<comments xmlns="http://schemas.openxmlformats.org/spreadsheetml/2006/main">
  <authors>
    <author>tc={00D000C2-001C-4CE9-8B9F-00450006001F}</author>
  </authors>
  <commentList>
    <comment ref="Q20" authorId="0" shapeId="0">
      <text>
        <r>
          <rPr>
            <b/>
            <sz val="9"/>
            <rFont val="Tahoma"/>
          </rPr>
          <t>Usuario de Windows:</t>
        </r>
        <r>
          <rPr>
            <sz val="9"/>
            <rFont val="Tahoma"/>
          </rPr>
          <t xml:space="preserve">
yutfgK2
</t>
        </r>
      </text>
    </comment>
  </commentList>
</comments>
</file>

<file path=xl/sharedStrings.xml><?xml version="1.0" encoding="utf-8"?>
<sst xmlns="http://schemas.openxmlformats.org/spreadsheetml/2006/main" count="250" uniqueCount="213">
  <si>
    <t xml:space="preserve"> agosto 26</t>
  </si>
  <si>
    <t>Tarjeta naranja Erica</t>
  </si>
  <si>
    <t xml:space="preserve">seguro yaris </t>
  </si>
  <si>
    <t>noviembre</t>
  </si>
  <si>
    <t>diciembre</t>
  </si>
  <si>
    <t>enero</t>
  </si>
  <si>
    <t>mercado  credito</t>
  </si>
  <si>
    <t>sueldo</t>
  </si>
  <si>
    <t>Educación/Teo</t>
  </si>
  <si>
    <t>dolares</t>
  </si>
  <si>
    <t xml:space="preserve">Internet Cosquin </t>
  </si>
  <si>
    <t xml:space="preserve">alquiler </t>
  </si>
  <si>
    <t xml:space="preserve"> teatros </t>
  </si>
  <si>
    <t>alquiler cosq</t>
  </si>
  <si>
    <t xml:space="preserve">zapas Pablo </t>
  </si>
  <si>
    <t>cosquin</t>
  </si>
  <si>
    <t>Viaje a Aruba</t>
  </si>
  <si>
    <t>devolucion dolares</t>
  </si>
  <si>
    <t>Total</t>
  </si>
  <si>
    <t>Córdoba</t>
  </si>
  <si>
    <t>15 al 24/1</t>
  </si>
  <si>
    <t>pagó 47000</t>
  </si>
  <si>
    <t>restan 108400</t>
  </si>
  <si>
    <t>5 al 16/2</t>
  </si>
  <si>
    <t>pagó 120000</t>
  </si>
  <si>
    <t>restan 58000</t>
  </si>
  <si>
    <t>Ingresos</t>
  </si>
  <si>
    <t>Cosquin</t>
  </si>
  <si>
    <t>12 al 14/2</t>
  </si>
  <si>
    <t>com 2100</t>
  </si>
  <si>
    <t>Saldo</t>
  </si>
  <si>
    <t>21 al 28/2</t>
  </si>
  <si>
    <t>com 7500</t>
  </si>
  <si>
    <t>Ingreso camping</t>
  </si>
  <si>
    <t>Ingreso sueldos</t>
  </si>
  <si>
    <t>Cable</t>
  </si>
  <si>
    <t>Claro Tomi</t>
  </si>
  <si>
    <t>Claros</t>
  </si>
  <si>
    <t>Camino de las sierras</t>
  </si>
  <si>
    <t>Ecogas</t>
  </si>
  <si>
    <t>Seguros telefonos</t>
  </si>
  <si>
    <t>Seguros casa+Etios</t>
  </si>
  <si>
    <t>Muni casa cosquin</t>
  </si>
  <si>
    <t>SIPSSA</t>
  </si>
  <si>
    <t xml:space="preserve">Agua </t>
  </si>
  <si>
    <t>Rentas todo</t>
  </si>
  <si>
    <t>Muni casa+autos</t>
  </si>
  <si>
    <t>Netflix</t>
  </si>
  <si>
    <t>Seguro Clio</t>
  </si>
  <si>
    <t>Epec</t>
  </si>
  <si>
    <t>TOTAL</t>
  </si>
  <si>
    <t>facultad</t>
  </si>
  <si>
    <t>Servis Yaris</t>
  </si>
  <si>
    <t>lavavajillas</t>
  </si>
  <si>
    <t>Havanna Erica</t>
  </si>
  <si>
    <t>Tomas Zeta</t>
  </si>
  <si>
    <t>zapatillas tomi</t>
  </si>
  <si>
    <t>farmacia</t>
  </si>
  <si>
    <t>David  smwebgroup</t>
  </si>
  <si>
    <t>zeta 2 y 3 junio y julio</t>
  </si>
  <si>
    <t>zeta 3 junio</t>
  </si>
  <si>
    <t>super</t>
  </si>
  <si>
    <t>zeta 1, 2 y 3 hasta agosto</t>
  </si>
  <si>
    <t>anteojos David</t>
  </si>
  <si>
    <t>bertoldy</t>
  </si>
  <si>
    <t>zapatilla tomi</t>
  </si>
  <si>
    <t>Bertoldi</t>
  </si>
  <si>
    <t>libertad</t>
  </si>
  <si>
    <t>pantalon David</t>
  </si>
  <si>
    <t xml:space="preserve">Salida Erica </t>
  </si>
  <si>
    <t>Allende Farmacia</t>
  </si>
  <si>
    <t>Allende farmacia</t>
  </si>
  <si>
    <t>campera cuero Erica</t>
  </si>
  <si>
    <t>camping</t>
  </si>
  <si>
    <t>David</t>
  </si>
  <si>
    <t>Tomas Master</t>
  </si>
  <si>
    <t>nosotros</t>
  </si>
  <si>
    <t>yaris muni</t>
  </si>
  <si>
    <t>Camping 37000</t>
  </si>
  <si>
    <t>junio</t>
  </si>
  <si>
    <t>yaris rentas</t>
  </si>
  <si>
    <t>muni casa</t>
  </si>
  <si>
    <t>rentas casa</t>
  </si>
  <si>
    <t>Erica</t>
  </si>
  <si>
    <t>rentas casa cosquin</t>
  </si>
  <si>
    <t>Muni Cordoba total    103000</t>
  </si>
  <si>
    <t>muni y  agua Cosquin</t>
  </si>
  <si>
    <t>Etios Muni</t>
  </si>
  <si>
    <t>Etios Rentas</t>
  </si>
  <si>
    <t xml:space="preserve">sipssa </t>
  </si>
  <si>
    <t>total impuestos</t>
  </si>
  <si>
    <t>Tomas</t>
  </si>
  <si>
    <t>mayo</t>
  </si>
  <si>
    <t>trepadora</t>
  </si>
  <si>
    <t>telefono</t>
  </si>
  <si>
    <t>smweb</t>
  </si>
  <si>
    <t>segurio</t>
  </si>
  <si>
    <t>Facu master</t>
  </si>
  <si>
    <t>zapas Tomi</t>
  </si>
  <si>
    <t>compra intern</t>
  </si>
  <si>
    <t>cargador</t>
  </si>
  <si>
    <t>Teo</t>
  </si>
  <si>
    <t>Zapas Tomi</t>
  </si>
  <si>
    <t>reclamo</t>
  </si>
  <si>
    <t>24hs</t>
  </si>
  <si>
    <t>gmail yhotmail</t>
  </si>
  <si>
    <t>Bicha411</t>
  </si>
  <si>
    <t>BOOKING</t>
  </si>
  <si>
    <t>Ignacio411</t>
  </si>
  <si>
    <t>cuesta aagua Cosqui</t>
  </si>
  <si>
    <t>cero8161</t>
  </si>
  <si>
    <t>cuenta muni</t>
  </si>
  <si>
    <t xml:space="preserve">tomas </t>
  </si>
  <si>
    <t>Dora1477</t>
  </si>
  <si>
    <t>tarjeta  Lemon 411411</t>
  </si>
  <si>
    <t>dora visa</t>
  </si>
  <si>
    <t>4110Dora</t>
  </si>
  <si>
    <t>4110Pablo</t>
  </si>
  <si>
    <t>lo celsa 6072</t>
  </si>
  <si>
    <t>claves</t>
  </si>
  <si>
    <t>naranja Erica</t>
  </si>
  <si>
    <t>naranja x</t>
  </si>
  <si>
    <t>airtm</t>
  </si>
  <si>
    <t>naranja Pablo</t>
  </si>
  <si>
    <t>Bancor Pablo</t>
  </si>
  <si>
    <t>Esther1477</t>
  </si>
  <si>
    <t>token erica</t>
  </si>
  <si>
    <t>tio</t>
  </si>
  <si>
    <t>Bancor Erica</t>
  </si>
  <si>
    <t>Maria411</t>
  </si>
  <si>
    <t>token pablo</t>
  </si>
  <si>
    <t>jue</t>
  </si>
  <si>
    <t>visa</t>
  </si>
  <si>
    <t>4173maria</t>
  </si>
  <si>
    <t>Cuenta muni camping</t>
  </si>
  <si>
    <t>dos ceros578</t>
  </si>
  <si>
    <t>gas</t>
  </si>
  <si>
    <t>411Erica*</t>
  </si>
  <si>
    <t xml:space="preserve">brocker </t>
  </si>
  <si>
    <t>Cecilia411@</t>
  </si>
  <si>
    <t>cuenta rentas camping</t>
  </si>
  <si>
    <t>master</t>
  </si>
  <si>
    <t>erica411</t>
  </si>
  <si>
    <t>tomas411</t>
  </si>
  <si>
    <t xml:space="preserve">bookimg </t>
  </si>
  <si>
    <t>cordoba</t>
  </si>
  <si>
    <t>Dora CIDI</t>
  </si>
  <si>
    <t>Agostina411</t>
  </si>
  <si>
    <t>cuil27044985603</t>
  </si>
  <si>
    <t>Santander</t>
  </si>
  <si>
    <t>Cecilia411</t>
  </si>
  <si>
    <t>DoraAFIP</t>
  </si>
  <si>
    <t>Dora120467</t>
  </si>
  <si>
    <t>bichasomoza</t>
  </si>
  <si>
    <t>Erica afip</t>
  </si>
  <si>
    <t>Erica411411</t>
  </si>
  <si>
    <t>Pablo afip</t>
  </si>
  <si>
    <t>Pablo411411</t>
  </si>
  <si>
    <t>Token</t>
  </si>
  <si>
    <t>vip visa</t>
  </si>
  <si>
    <t>Erica411asterisco</t>
  </si>
  <si>
    <t>CLAVE LATAM DE ERICA</t>
  </si>
  <si>
    <t>Pablo411</t>
  </si>
  <si>
    <t>Pablo</t>
  </si>
  <si>
    <t>clave SIPPSA EricaPablo411</t>
  </si>
  <si>
    <t>Tomas411 Teo abril411 David 411</t>
  </si>
  <si>
    <t>baja y reversa muni</t>
  </si>
  <si>
    <t xml:space="preserve">pasaporte italiano David </t>
  </si>
  <si>
    <t>davidabrilperrig@gmail.com</t>
  </si>
  <si>
    <t>Diap2001</t>
  </si>
  <si>
    <t>a</t>
  </si>
  <si>
    <t>julio</t>
  </si>
  <si>
    <t>agosto</t>
  </si>
  <si>
    <t>septiembre</t>
  </si>
  <si>
    <t>octubre</t>
  </si>
  <si>
    <t>Necesitamos en dolares</t>
  </si>
  <si>
    <t>Depto</t>
  </si>
  <si>
    <t>Aguinaldo</t>
  </si>
  <si>
    <t>Deuda Erica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</si>
  <si>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</si>
  <si>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</si>
  <si>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</si>
  <si>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</si>
  <si>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</si>
  <si>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</si>
  <si>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</si>
  <si>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</si>
  <si>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</si>
  <si>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black</t>
  </si>
  <si>
    <t>Pantalon</t>
  </si>
  <si>
    <t>credit merc</t>
  </si>
  <si>
    <t>pelu adelanto</t>
  </si>
  <si>
    <t>regal Mariel</t>
  </si>
  <si>
    <t xml:space="preserve">ropa </t>
  </si>
  <si>
    <t>mercado pago</t>
  </si>
  <si>
    <t>Ingreso</t>
  </si>
  <si>
    <t>David compu carg</t>
  </si>
  <si>
    <t>platos</t>
  </si>
  <si>
    <t>Rentas total 95000</t>
  </si>
  <si>
    <t>pantalon</t>
  </si>
  <si>
    <t>o</t>
  </si>
  <si>
    <t>vaquerias</t>
  </si>
  <si>
    <t>quivox</t>
  </si>
  <si>
    <t>Botas Pablo</t>
  </si>
  <si>
    <t>Guardar viaje</t>
  </si>
  <si>
    <t>Guardar casa</t>
  </si>
  <si>
    <t>Credit merc</t>
  </si>
  <si>
    <t>naranja</t>
  </si>
  <si>
    <t>botas</t>
  </si>
  <si>
    <t>Enero</t>
  </si>
  <si>
    <t>Febrero</t>
  </si>
  <si>
    <t>Farmacia</t>
  </si>
  <si>
    <t>mercado credito Tomi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</si>
</sst>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$&quot;\ * #,##0.00_ ;_ &quot;$&quot;\ * \-#,##0.00_ ;_ &quot;$&quot;\ * &quot;-&quot;??_ ;_ @_ "/>
    <numFmt numFmtId="164" formatCode="&quot;$&quot;\ #,##0.00;[Red]\-&quot;$&quot;\ #,##0.00"/>
    <numFmt numFmtId="165" formatCode="[$$-2C0A]\ #,##0.00"/>
    <numFmt numFmtId="166" formatCode="&quot;$&quot;\ #,##0;[Red]\-&quot;$&quot;\ #,##0"/>
  </numFmts>
  <fonts count="7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12"/>
      <color theme="1"/>
      <name val="Arial"/>
    </font>
    <font>
      <sz val="9"/>
      <color theme="1"/>
      <name val="Calibri"/>
      <scheme val="minor"/>
    </font>
    <font>
      <sz val="12"/>
      <name val="Calibri"/>
      <scheme val="minor"/>
    </font>
    <font>
      <sz val="12"/>
      <color theme="1"/>
      <name val="Calibri"/>
      <scheme val="minor"/>
    </font>
    <font>
      <sz val="12"/>
      <color indexed="63"/>
      <name val="Arial"/>
    </font>
    <font>
      <sz val="12"/>
      <name val="Arial"/>
    </font>
    <font>
      <sz val="12"/>
      <name val="Calibri"/>
    </font>
    <font>
      <sz val="12"/>
      <color theme="1"/>
      <name val="Calibri"/>
    </font>
    <font>
      <sz val="9"/>
      <color indexed="2"/>
      <name val="Calibri"/>
      <scheme val="minor"/>
    </font>
    <font>
      <b/>
      <i/>
      <sz val="9"/>
      <color theme="1"/>
      <name val="Calibri"/>
      <scheme val="minor"/>
    </font>
    <font>
      <sz val="9"/>
      <name val="Calibri"/>
      <scheme val="minor"/>
    </font>
    <font>
      <i/>
      <sz val="12"/>
      <name val="Arial"/>
    </font>
    <font>
      <b/>
      <i/>
      <sz val="12"/>
      <color theme="6" tint="-0.499984740745262"/>
      <name val="Calibri"/>
      <scheme val="minor"/>
    </font>
    <font>
      <b/>
      <i/>
      <sz val="14"/>
      <color theme="6" tint="-0.499984740745262"/>
      <name val="Calibri"/>
      <scheme val="minor"/>
    </font>
    <font>
      <b/>
      <i/>
      <sz val="9"/>
      <color indexed="2"/>
      <name val="Calibri"/>
      <scheme val="minor"/>
    </font>
    <font>
      <b/>
      <sz val="11"/>
      <color theme="8" tint="-0.499984740745262"/>
      <name val="Calibri"/>
      <scheme val="minor"/>
    </font>
    <font>
      <b/>
      <sz val="12"/>
      <color theme="1"/>
      <name val="Arial"/>
    </font>
    <font>
      <b/>
      <sz val="12"/>
      <color theme="1"/>
      <name val="Calibri"/>
    </font>
    <font>
      <b/>
      <sz val="11"/>
      <color theme="3"/>
      <name val="Calibri"/>
      <scheme val="minor"/>
    </font>
    <font>
      <sz val="14"/>
      <color theme="1"/>
      <name val="Calibri"/>
      <scheme val="minor"/>
    </font>
    <font>
      <b/>
      <sz val="11"/>
      <color indexed="2"/>
      <name val="Calibri"/>
      <scheme val="minor"/>
    </font>
    <font>
      <sz val="11"/>
      <name val="Calibri"/>
      <scheme val="minor"/>
    </font>
    <font>
      <i/>
      <sz val="11"/>
      <name val="Calibri"/>
      <scheme val="minor"/>
    </font>
    <font>
      <b/>
      <i/>
      <sz val="11"/>
      <color theme="3"/>
      <name val="Calibri"/>
      <scheme val="minor"/>
    </font>
    <font>
      <b/>
      <sz val="11"/>
      <color theme="6" tint="-0.249977111117893"/>
      <name val="Calibri"/>
      <scheme val="minor"/>
    </font>
    <font>
      <sz val="11"/>
      <name val="Arial"/>
    </font>
    <font>
      <sz val="12"/>
      <color indexed="2"/>
      <name val="Arial"/>
    </font>
    <font>
      <sz val="11"/>
      <color indexed="2"/>
      <name val="Calibri"/>
      <scheme val="minor"/>
    </font>
    <font>
      <sz val="11"/>
      <color theme="1"/>
      <name val="Chalkboard"/>
    </font>
    <font>
      <sz val="11"/>
      <color indexed="2"/>
      <name val="Arial"/>
    </font>
    <font>
      <i/>
      <sz val="11"/>
      <name val="Arial"/>
    </font>
    <font>
      <sz val="16"/>
      <color theme="1"/>
      <name val="Calibri"/>
      <scheme val="minor"/>
    </font>
    <font>
      <sz val="11"/>
      <color theme="9" tint="-0.499984740745262"/>
      <name val="Calibri"/>
      <scheme val="minor"/>
    </font>
    <font>
      <b/>
      <sz val="11"/>
      <color theme="9" tint="-0.249977111117893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sz val="11"/>
      <color theme="3"/>
      <name val="Calibri"/>
      <scheme val="minor"/>
    </font>
    <font>
      <b/>
      <sz val="11"/>
      <name val="Calibri"/>
      <scheme val="minor"/>
    </font>
    <font>
      <b/>
      <sz val="11"/>
      <color theme="3" tint="-0.249977111117893"/>
      <name val="Calibri"/>
      <scheme val="minor"/>
    </font>
    <font>
      <sz val="11"/>
      <color theme="9" tint="-0.249977111117893"/>
      <name val="Calibri"/>
      <scheme val="minor"/>
    </font>
    <font>
      <b/>
      <sz val="11"/>
      <color rgb="FF002060"/>
      <name val="Calibri"/>
      <scheme val="minor"/>
    </font>
    <font>
      <b/>
      <sz val="14"/>
      <color theme="1"/>
      <name val="Calibri"/>
      <scheme val="minor"/>
    </font>
    <font>
      <sz val="16"/>
      <color theme="3"/>
      <name val="Calibri"/>
      <scheme val="minor"/>
    </font>
    <font>
      <b/>
      <i/>
      <sz val="14"/>
      <color theme="9" tint="-0.249977111117893"/>
      <name val="Calibri"/>
      <scheme val="minor"/>
    </font>
    <font>
      <sz val="11"/>
      <color theme="1"/>
      <name val="Arial"/>
    </font>
    <font>
      <sz val="9"/>
      <color indexed="63"/>
      <name val="Arial"/>
    </font>
    <font>
      <b/>
      <i/>
      <u/>
      <sz val="11"/>
      <color theme="1"/>
      <name val="Calibri"/>
      <scheme val="minor"/>
    </font>
    <font>
      <sz val="12"/>
      <color theme="1"/>
      <name val="Arial Unicode MS"/>
    </font>
    <font>
      <b/>
      <sz val="10"/>
      <color indexed="63"/>
      <name val="Opensans-regular"/>
    </font>
    <font>
      <sz val="10"/>
      <color indexed="63"/>
      <name val="Opensans-regular"/>
    </font>
    <font>
      <b/>
      <i/>
      <u/>
      <sz val="18"/>
      <name val="Calibri"/>
      <scheme val="minor"/>
    </font>
    <font>
      <sz val="22"/>
      <color theme="1"/>
      <name val="Calibri"/>
      <scheme val="minor"/>
    </font>
    <font>
      <b/>
      <i/>
      <sz val="14"/>
      <color theme="1"/>
      <name val="Calibri"/>
      <scheme val="minor"/>
    </font>
    <font>
      <b/>
      <i/>
      <u/>
      <sz val="20"/>
      <color theme="1"/>
      <name val="Calibri"/>
      <scheme val="minor"/>
    </font>
    <font>
      <b/>
      <i/>
      <u/>
      <sz val="16"/>
      <color theme="1"/>
      <name val="Calibri"/>
      <scheme val="minor"/>
    </font>
    <font>
      <b/>
      <i/>
      <u/>
      <sz val="18"/>
      <color theme="1"/>
      <name val="Calibri"/>
      <scheme val="minor"/>
    </font>
    <font>
      <sz val="22"/>
      <color theme="9" tint="-0.499984740745262"/>
      <name val="Calibri"/>
      <scheme val="minor"/>
    </font>
    <font>
      <sz val="11"/>
      <color theme="0"/>
      <name val="Calibri"/>
      <scheme val="minor"/>
    </font>
    <font>
      <b/>
      <i/>
      <sz val="11"/>
      <color theme="1"/>
      <name val="Calibri"/>
      <scheme val="minor"/>
    </font>
    <font>
      <b/>
      <sz val="11"/>
      <color theme="5" tint="-0.499984740745262"/>
      <name val="Calibri"/>
      <scheme val="minor"/>
    </font>
    <font>
      <i/>
      <sz val="11"/>
      <color theme="1"/>
      <name val="Calibri"/>
      <scheme val="minor"/>
    </font>
    <font>
      <b/>
      <sz val="11"/>
      <color rgb="FF00B050"/>
      <name val="Calibri"/>
      <scheme val="minor"/>
    </font>
    <font>
      <sz val="11"/>
      <color theme="1"/>
      <name val="Calibri"/>
      <scheme val="minor"/>
    </font>
    <font>
      <b/>
      <sz val="9"/>
      <name val="Tahoma"/>
    </font>
    <font>
      <sz val="9"/>
      <name val="Tahoma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B0F0"/>
      </patternFill>
    </fill>
    <fill>
      <patternFill patternType="solid">
        <fgColor indexed="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7"/>
      </patternFill>
    </fill>
    <fill>
      <patternFill patternType="solid">
        <fgColor theme="3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92D05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2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theme="9" tint="0.59999389629810485"/>
      </patternFill>
    </fill>
    <fill>
      <patternFill patternType="solid">
        <fgColor theme="1" tint="0.499984740745262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theme="9" tint="0.59999389629810485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6" tint="0.5999938962981048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44" fontId="67" fillId="0" borderId="0" applyFont="0" applyFill="0" applyBorder="0" applyProtection="0"/>
    <xf numFmtId="9" fontId="67" fillId="0" borderId="0" applyFont="0" applyFill="0" applyBorder="0" applyProtection="0"/>
  </cellStyleXfs>
  <cellXfs count="353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0" fillId="4" borderId="1" xfId="0" applyFill="1" applyBorder="1"/>
    <xf numFmtId="16" fontId="0" fillId="4" borderId="1" xfId="0" applyNumberFormat="1" applyFill="1" applyBorder="1"/>
    <xf numFmtId="0" fontId="0" fillId="0" borderId="1" xfId="0" applyBorder="1"/>
    <xf numFmtId="0" fontId="5" fillId="6" borderId="1" xfId="0" applyFont="1" applyFill="1" applyBorder="1" applyAlignment="1">
      <alignment horizontal="center"/>
    </xf>
    <xf numFmtId="0" fontId="6" fillId="0" borderId="0" xfId="0" applyFont="1"/>
    <xf numFmtId="0" fontId="6" fillId="3" borderId="1" xfId="0" applyFont="1" applyFill="1" applyBorder="1"/>
    <xf numFmtId="0" fontId="6" fillId="4" borderId="3" xfId="0" applyFont="1" applyFill="1" applyBorder="1"/>
    <xf numFmtId="0" fontId="6" fillId="4" borderId="1" xfId="0" applyFont="1" applyFill="1" applyBorder="1"/>
    <xf numFmtId="0" fontId="10" fillId="7" borderId="1" xfId="0" applyFont="1" applyFill="1" applyBorder="1" applyAlignment="1">
      <alignment horizontal="center"/>
    </xf>
    <xf numFmtId="2" fontId="0" fillId="4" borderId="1" xfId="0" applyNumberFormat="1" applyFill="1" applyBorder="1"/>
    <xf numFmtId="0" fontId="5" fillId="8" borderId="1" xfId="0" applyFont="1" applyFill="1" applyBorder="1" applyAlignment="1">
      <alignment horizontal="center"/>
    </xf>
    <xf numFmtId="0" fontId="13" fillId="9" borderId="1" xfId="0" applyFont="1" applyFill="1" applyBorder="1"/>
    <xf numFmtId="0" fontId="14" fillId="10" borderId="3" xfId="0" applyFont="1" applyFill="1" applyBorder="1"/>
    <xf numFmtId="0" fontId="0" fillId="0" borderId="0" xfId="0"/>
    <xf numFmtId="0" fontId="5" fillId="11" borderId="1" xfId="0" applyFont="1" applyFill="1" applyBorder="1" applyAlignment="1">
      <alignment horizontal="center"/>
    </xf>
    <xf numFmtId="0" fontId="15" fillId="4" borderId="1" xfId="0" applyFont="1" applyFill="1" applyBorder="1"/>
    <xf numFmtId="0" fontId="13" fillId="4" borderId="1" xfId="0" applyFont="1" applyFill="1" applyBorder="1"/>
    <xf numFmtId="0" fontId="6" fillId="12" borderId="3" xfId="0" applyFont="1" applyFill="1" applyBorder="1"/>
    <xf numFmtId="164" fontId="10" fillId="13" borderId="0" xfId="0" applyNumberFormat="1" applyFont="1" applyFill="1" applyAlignment="1">
      <alignment horizontal="center"/>
    </xf>
    <xf numFmtId="16" fontId="17" fillId="4" borderId="3" xfId="0" applyNumberFormat="1" applyFont="1" applyFill="1" applyBorder="1"/>
    <xf numFmtId="0" fontId="18" fillId="4" borderId="1" xfId="0" applyFont="1" applyFill="1" applyBorder="1"/>
    <xf numFmtId="3" fontId="10" fillId="14" borderId="1" xfId="0" applyNumberFormat="1" applyFont="1" applyFill="1" applyBorder="1" applyAlignment="1">
      <alignment horizontal="center"/>
    </xf>
    <xf numFmtId="16" fontId="13" fillId="4" borderId="3" xfId="0" applyNumberFormat="1" applyFont="1" applyFill="1" applyBorder="1"/>
    <xf numFmtId="0" fontId="0" fillId="0" borderId="4" xfId="0" applyBorder="1"/>
    <xf numFmtId="3" fontId="10" fillId="15" borderId="5" xfId="0" applyNumberFormat="1" applyFont="1" applyFill="1" applyBorder="1" applyAlignment="1">
      <alignment horizontal="center"/>
    </xf>
    <xf numFmtId="0" fontId="0" fillId="4" borderId="0" xfId="0" applyFill="1"/>
    <xf numFmtId="3" fontId="10" fillId="16" borderId="5" xfId="0" applyNumberFormat="1" applyFont="1" applyFill="1" applyBorder="1" applyAlignment="1">
      <alignment horizontal="center"/>
    </xf>
    <xf numFmtId="0" fontId="15" fillId="4" borderId="3" xfId="0" applyFont="1" applyFill="1" applyBorder="1"/>
    <xf numFmtId="0" fontId="8" fillId="0" borderId="0" xfId="0" applyFont="1" applyAlignment="1">
      <alignment horizontal="center"/>
    </xf>
    <xf numFmtId="0" fontId="12" fillId="6" borderId="1" xfId="2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18" borderId="1" xfId="0" applyFont="1" applyFill="1" applyBorder="1"/>
    <xf numFmtId="0" fontId="6" fillId="18" borderId="3" xfId="0" applyFont="1" applyFill="1" applyBorder="1"/>
    <xf numFmtId="0" fontId="0" fillId="0" borderId="3" xfId="0" applyBorder="1"/>
    <xf numFmtId="0" fontId="0" fillId="4" borderId="6" xfId="0" applyFill="1" applyBorder="1"/>
    <xf numFmtId="0" fontId="0" fillId="0" borderId="0" xfId="0" applyAlignment="1">
      <alignment horizontal="center"/>
    </xf>
    <xf numFmtId="0" fontId="5" fillId="19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/>
    <xf numFmtId="0" fontId="20" fillId="0" borderId="6" xfId="0" applyFont="1" applyBorder="1"/>
    <xf numFmtId="16" fontId="0" fillId="4" borderId="1" xfId="0" applyNumberFormat="1" applyFill="1" applyBorder="1" applyAlignment="1">
      <alignment horizontal="center"/>
    </xf>
    <xf numFmtId="0" fontId="21" fillId="20" borderId="1" xfId="0" applyFont="1" applyFill="1" applyBorder="1"/>
    <xf numFmtId="0" fontId="23" fillId="0" borderId="1" xfId="0" applyFont="1" applyBorder="1" applyAlignment="1">
      <alignment horizontal="center"/>
    </xf>
    <xf numFmtId="0" fontId="0" fillId="4" borderId="4" xfId="0" applyFill="1" applyBorder="1"/>
    <xf numFmtId="0" fontId="0" fillId="4" borderId="3" xfId="0" applyFill="1" applyBorder="1"/>
    <xf numFmtId="0" fontId="23" fillId="0" borderId="1" xfId="0" applyFont="1" applyBorder="1"/>
    <xf numFmtId="0" fontId="23" fillId="0" borderId="0" xfId="0" applyFont="1"/>
    <xf numFmtId="0" fontId="0" fillId="0" borderId="7" xfId="0" applyBorder="1"/>
    <xf numFmtId="0" fontId="25" fillId="0" borderId="7" xfId="0" applyFont="1" applyBorder="1"/>
    <xf numFmtId="0" fontId="26" fillId="4" borderId="1" xfId="0" applyFont="1" applyFill="1" applyBorder="1"/>
    <xf numFmtId="16" fontId="27" fillId="4" borderId="1" xfId="0" applyNumberFormat="1" applyFont="1" applyFill="1" applyBorder="1"/>
    <xf numFmtId="0" fontId="27" fillId="4" borderId="1" xfId="0" applyFont="1" applyFill="1" applyBorder="1"/>
    <xf numFmtId="0" fontId="28" fillId="4" borderId="1" xfId="0" applyFont="1" applyFill="1" applyBorder="1"/>
    <xf numFmtId="0" fontId="29" fillId="4" borderId="1" xfId="0" applyFont="1" applyFill="1" applyBorder="1"/>
    <xf numFmtId="0" fontId="26" fillId="0" borderId="1" xfId="0" applyFont="1" applyBorder="1"/>
    <xf numFmtId="0" fontId="23" fillId="4" borderId="1" xfId="0" applyFont="1" applyFill="1" applyBorder="1"/>
    <xf numFmtId="0" fontId="30" fillId="4" borderId="1" xfId="0" applyFont="1" applyFill="1" applyBorder="1"/>
    <xf numFmtId="0" fontId="5" fillId="0" borderId="1" xfId="0" applyFont="1" applyBorder="1"/>
    <xf numFmtId="0" fontId="31" fillId="0" borderId="1" xfId="0" applyFont="1" applyBorder="1"/>
    <xf numFmtId="0" fontId="32" fillId="0" borderId="1" xfId="0" applyFont="1" applyBorder="1"/>
    <xf numFmtId="0" fontId="26" fillId="0" borderId="5" xfId="0" applyFont="1" applyBorder="1"/>
    <xf numFmtId="165" fontId="27" fillId="4" borderId="1" xfId="0" applyNumberFormat="1" applyFont="1" applyFill="1" applyBorder="1"/>
    <xf numFmtId="0" fontId="5" fillId="4" borderId="1" xfId="0" applyFont="1" applyFill="1" applyBorder="1"/>
    <xf numFmtId="0" fontId="5" fillId="0" borderId="1" xfId="0" applyFont="1" applyBorder="1" applyAlignment="1">
      <alignment horizontal="center"/>
    </xf>
    <xf numFmtId="0" fontId="33" fillId="0" borderId="1" xfId="0" applyFont="1" applyBorder="1"/>
    <xf numFmtId="3" fontId="0" fillId="0" borderId="1" xfId="0" applyNumberFormat="1" applyBorder="1"/>
    <xf numFmtId="16" fontId="26" fillId="4" borderId="1" xfId="0" applyNumberFormat="1" applyFont="1" applyFill="1" applyBorder="1"/>
    <xf numFmtId="0" fontId="0" fillId="4" borderId="1" xfId="0" applyFill="1" applyBorder="1"/>
    <xf numFmtId="0" fontId="0" fillId="0" borderId="1" xfId="0" applyBorder="1"/>
    <xf numFmtId="3" fontId="33" fillId="0" borderId="1" xfId="0" applyNumberFormat="1" applyFont="1" applyBorder="1"/>
    <xf numFmtId="0" fontId="0" fillId="0" borderId="5" xfId="0" applyBorder="1"/>
    <xf numFmtId="16" fontId="0" fillId="19" borderId="1" xfId="0" applyNumberFormat="1" applyFill="1" applyBorder="1"/>
    <xf numFmtId="0" fontId="0" fillId="19" borderId="1" xfId="0" applyFill="1" applyBorder="1"/>
    <xf numFmtId="0" fontId="26" fillId="19" borderId="1" xfId="0" applyFont="1" applyFill="1" applyBorder="1"/>
    <xf numFmtId="0" fontId="0" fillId="19" borderId="1" xfId="0" applyFill="1" applyBorder="1" applyAlignment="1">
      <alignment horizontal="center"/>
    </xf>
    <xf numFmtId="16" fontId="27" fillId="19" borderId="1" xfId="0" applyNumberFormat="1" applyFont="1" applyFill="1" applyBorder="1"/>
    <xf numFmtId="0" fontId="27" fillId="19" borderId="1" xfId="0" applyFont="1" applyFill="1" applyBorder="1"/>
    <xf numFmtId="165" fontId="28" fillId="19" borderId="1" xfId="0" applyNumberFormat="1" applyFont="1" applyFill="1" applyBorder="1"/>
    <xf numFmtId="0" fontId="29" fillId="0" borderId="1" xfId="0" applyFont="1" applyBorder="1"/>
    <xf numFmtId="0" fontId="25" fillId="0" borderId="0" xfId="0" applyFont="1"/>
    <xf numFmtId="14" fontId="0" fillId="21" borderId="1" xfId="0" applyNumberFormat="1" applyFill="1" applyBorder="1"/>
    <xf numFmtId="14" fontId="0" fillId="21" borderId="3" xfId="0" applyNumberFormat="1" applyFill="1" applyBorder="1"/>
    <xf numFmtId="0" fontId="30" fillId="22" borderId="1" xfId="0" applyFont="1" applyFill="1" applyBorder="1"/>
    <xf numFmtId="16" fontId="0" fillId="0" borderId="1" xfId="0" applyNumberFormat="1" applyBorder="1"/>
    <xf numFmtId="0" fontId="30" fillId="2" borderId="1" xfId="0" applyFont="1" applyFill="1" applyBorder="1"/>
    <xf numFmtId="0" fontId="34" fillId="2" borderId="1" xfId="0" applyFont="1" applyFill="1" applyBorder="1"/>
    <xf numFmtId="0" fontId="32" fillId="4" borderId="1" xfId="0" applyFont="1" applyFill="1" applyBorder="1"/>
    <xf numFmtId="0" fontId="35" fillId="2" borderId="1" xfId="0" applyFont="1" applyFill="1" applyBorder="1"/>
    <xf numFmtId="0" fontId="26" fillId="23" borderId="1" xfId="0" applyFont="1" applyFill="1" applyBorder="1"/>
    <xf numFmtId="0" fontId="0" fillId="23" borderId="1" xfId="0" applyFill="1" applyBorder="1"/>
    <xf numFmtId="0" fontId="0" fillId="23" borderId="3" xfId="0" applyFill="1" applyBorder="1"/>
    <xf numFmtId="0" fontId="36" fillId="0" borderId="1" xfId="0" applyFont="1" applyBorder="1"/>
    <xf numFmtId="0" fontId="26" fillId="22" borderId="1" xfId="0" applyFont="1" applyFill="1" applyBorder="1"/>
    <xf numFmtId="0" fontId="26" fillId="7" borderId="1" xfId="0" applyFont="1" applyFill="1" applyBorder="1"/>
    <xf numFmtId="0" fontId="38" fillId="24" borderId="1" xfId="2" applyNumberFormat="1" applyFont="1" applyFill="1" applyBorder="1"/>
    <xf numFmtId="0" fontId="26" fillId="16" borderId="1" xfId="0" applyFont="1" applyFill="1" applyBorder="1"/>
    <xf numFmtId="2" fontId="39" fillId="4" borderId="1" xfId="0" applyNumberFormat="1" applyFont="1" applyFill="1" applyBorder="1"/>
    <xf numFmtId="16" fontId="0" fillId="0" borderId="0" xfId="0" applyNumberFormat="1"/>
    <xf numFmtId="0" fontId="41" fillId="7" borderId="1" xfId="0" applyFont="1" applyFill="1" applyBorder="1"/>
    <xf numFmtId="0" fontId="42" fillId="0" borderId="1" xfId="0" applyFont="1" applyBorder="1"/>
    <xf numFmtId="0" fontId="39" fillId="0" borderId="1" xfId="0" applyFont="1" applyBorder="1"/>
    <xf numFmtId="0" fontId="23" fillId="24" borderId="1" xfId="0" applyFont="1" applyFill="1" applyBorder="1"/>
    <xf numFmtId="16" fontId="39" fillId="0" borderId="1" xfId="0" applyNumberFormat="1" applyFont="1" applyBorder="1"/>
    <xf numFmtId="2" fontId="39" fillId="0" borderId="1" xfId="0" applyNumberFormat="1" applyFont="1" applyBorder="1"/>
    <xf numFmtId="0" fontId="38" fillId="25" borderId="1" xfId="0" applyFont="1" applyFill="1" applyBorder="1"/>
    <xf numFmtId="0" fontId="38" fillId="25" borderId="1" xfId="0" applyFont="1" applyFill="1" applyBorder="1" applyAlignment="1">
      <alignment horizontal="center"/>
    </xf>
    <xf numFmtId="0" fontId="38" fillId="24" borderId="1" xfId="0" applyFont="1" applyFill="1" applyBorder="1"/>
    <xf numFmtId="0" fontId="38" fillId="26" borderId="1" xfId="0" applyFont="1" applyFill="1" applyBorder="1"/>
    <xf numFmtId="0" fontId="38" fillId="26" borderId="1" xfId="0" applyFont="1" applyFill="1" applyBorder="1" applyAlignment="1">
      <alignment horizontal="center"/>
    </xf>
    <xf numFmtId="0" fontId="43" fillId="26" borderId="1" xfId="0" applyFont="1" applyFill="1" applyBorder="1"/>
    <xf numFmtId="0" fontId="40" fillId="26" borderId="1" xfId="0" applyFont="1" applyFill="1" applyBorder="1" applyAlignment="1">
      <alignment horizontal="center"/>
    </xf>
    <xf numFmtId="0" fontId="44" fillId="25" borderId="1" xfId="0" applyFont="1" applyFill="1" applyBorder="1"/>
    <xf numFmtId="0" fontId="45" fillId="25" borderId="1" xfId="0" applyFont="1" applyFill="1" applyBorder="1"/>
    <xf numFmtId="0" fontId="45" fillId="25" borderId="1" xfId="0" applyFont="1" applyFill="1" applyBorder="1" applyAlignment="1">
      <alignment horizontal="center"/>
    </xf>
    <xf numFmtId="0" fontId="0" fillId="23" borderId="1" xfId="2" applyNumberFormat="1" applyFont="1" applyFill="1" applyBorder="1"/>
    <xf numFmtId="0" fontId="32" fillId="0" borderId="1" xfId="2" applyNumberFormat="1" applyFont="1" applyBorder="1"/>
    <xf numFmtId="0" fontId="0" fillId="0" borderId="1" xfId="2" applyNumberFormat="1" applyFont="1" applyBorder="1"/>
    <xf numFmtId="0" fontId="0" fillId="27" borderId="1" xfId="0" applyFill="1" applyBorder="1"/>
    <xf numFmtId="0" fontId="41" fillId="4" borderId="1" xfId="0" applyFont="1" applyFill="1" applyBorder="1"/>
    <xf numFmtId="0" fontId="0" fillId="28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26" fillId="0" borderId="0" xfId="0" applyFont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29" borderId="1" xfId="0" applyFill="1" applyBorder="1"/>
    <xf numFmtId="0" fontId="26" fillId="27" borderId="1" xfId="0" applyFont="1" applyFill="1" applyBorder="1"/>
    <xf numFmtId="0" fontId="0" fillId="33" borderId="1" xfId="0" applyFill="1" applyBorder="1"/>
    <xf numFmtId="16" fontId="26" fillId="0" borderId="1" xfId="0" applyNumberFormat="1" applyFont="1" applyBorder="1"/>
    <xf numFmtId="0" fontId="28" fillId="0" borderId="1" xfId="0" applyFont="1" applyBorder="1"/>
    <xf numFmtId="0" fontId="0" fillId="33" borderId="1" xfId="0" applyFill="1" applyBorder="1"/>
    <xf numFmtId="0" fontId="0" fillId="13" borderId="1" xfId="0" applyFill="1" applyBorder="1"/>
    <xf numFmtId="0" fontId="0" fillId="13" borderId="1" xfId="0" applyFill="1" applyBorder="1"/>
    <xf numFmtId="0" fontId="0" fillId="33" borderId="1" xfId="0" applyFill="1" applyBorder="1" applyAlignment="1">
      <alignment horizontal="right"/>
    </xf>
    <xf numFmtId="0" fontId="0" fillId="33" borderId="1" xfId="0" applyFill="1" applyBorder="1" applyAlignment="1">
      <alignment horizontal="center"/>
    </xf>
    <xf numFmtId="0" fontId="0" fillId="14" borderId="1" xfId="0" applyFill="1" applyBorder="1"/>
    <xf numFmtId="0" fontId="46" fillId="0" borderId="1" xfId="0" applyFont="1" applyBorder="1"/>
    <xf numFmtId="16" fontId="46" fillId="0" borderId="1" xfId="0" applyNumberFormat="1" applyFont="1" applyBorder="1"/>
    <xf numFmtId="2" fontId="0" fillId="0" borderId="0" xfId="0" applyNumberFormat="1"/>
    <xf numFmtId="2" fontId="0" fillId="4" borderId="0" xfId="0" applyNumberFormat="1" applyFill="1"/>
    <xf numFmtId="2" fontId="0" fillId="2" borderId="1" xfId="0" applyNumberFormat="1" applyFill="1" applyBorder="1"/>
    <xf numFmtId="0" fontId="0" fillId="2" borderId="1" xfId="0" applyFill="1" applyBorder="1"/>
    <xf numFmtId="2" fontId="0" fillId="0" borderId="1" xfId="0" applyNumberFormat="1" applyBorder="1"/>
    <xf numFmtId="2" fontId="0" fillId="20" borderId="1" xfId="0" applyNumberFormat="1" applyFill="1" applyBorder="1"/>
    <xf numFmtId="0" fontId="0" fillId="20" borderId="1" xfId="0" applyFill="1" applyBorder="1"/>
    <xf numFmtId="0" fontId="0" fillId="15" borderId="1" xfId="0" applyFill="1" applyBorder="1"/>
    <xf numFmtId="14" fontId="0" fillId="0" borderId="1" xfId="0" applyNumberFormat="1" applyBorder="1"/>
    <xf numFmtId="0" fontId="0" fillId="5" borderId="1" xfId="0" applyFill="1" applyBorder="1"/>
    <xf numFmtId="0" fontId="0" fillId="34" borderId="1" xfId="0" applyFill="1" applyBorder="1"/>
    <xf numFmtId="0" fontId="0" fillId="34" borderId="1" xfId="0" applyFill="1" applyBorder="1" applyAlignment="1">
      <alignment horizontal="left"/>
    </xf>
    <xf numFmtId="0" fontId="0" fillId="16" borderId="1" xfId="0" applyFill="1" applyBorder="1"/>
    <xf numFmtId="0" fontId="47" fillId="4" borderId="1" xfId="0" applyFont="1" applyFill="1" applyBorder="1"/>
    <xf numFmtId="0" fontId="48" fillId="4" borderId="1" xfId="0" applyFont="1" applyFill="1" applyBorder="1"/>
    <xf numFmtId="0" fontId="0" fillId="35" borderId="1" xfId="0" applyFill="1" applyBorder="1"/>
    <xf numFmtId="0" fontId="47" fillId="0" borderId="1" xfId="0" applyFont="1" applyBorder="1"/>
    <xf numFmtId="0" fontId="4" fillId="4" borderId="1" xfId="1" applyFont="1" applyFill="1" applyBorder="1"/>
    <xf numFmtId="0" fontId="39" fillId="7" borderId="1" xfId="0" applyFont="1" applyFill="1" applyBorder="1"/>
    <xf numFmtId="0" fontId="49" fillId="36" borderId="1" xfId="0" applyFont="1" applyFill="1" applyBorder="1"/>
    <xf numFmtId="0" fontId="50" fillId="0" borderId="0" xfId="0" applyFont="1"/>
    <xf numFmtId="0" fontId="51" fillId="4" borderId="1" xfId="0" applyFont="1" applyFill="1" applyBorder="1"/>
    <xf numFmtId="0" fontId="52" fillId="0" borderId="1" xfId="0" applyFont="1" applyBorder="1"/>
    <xf numFmtId="0" fontId="4" fillId="0" borderId="1" xfId="1" applyFont="1" applyBorder="1"/>
    <xf numFmtId="0" fontId="53" fillId="0" borderId="0" xfId="0" applyFont="1"/>
    <xf numFmtId="0" fontId="39" fillId="0" borderId="0" xfId="0" applyFont="1"/>
    <xf numFmtId="0" fontId="54" fillId="0" borderId="0" xfId="0" applyFont="1"/>
    <xf numFmtId="0" fontId="55" fillId="4" borderId="0" xfId="0" applyFont="1" applyFill="1"/>
    <xf numFmtId="0" fontId="56" fillId="0" borderId="0" xfId="0" applyFont="1"/>
    <xf numFmtId="0" fontId="57" fillId="0" borderId="0" xfId="0" applyFont="1"/>
    <xf numFmtId="0" fontId="58" fillId="4" borderId="0" xfId="0" applyFont="1" applyFill="1"/>
    <xf numFmtId="0" fontId="59" fillId="0" borderId="0" xfId="0" applyFont="1"/>
    <xf numFmtId="0" fontId="60" fillId="4" borderId="0" xfId="0" applyFont="1" applyFill="1"/>
    <xf numFmtId="0" fontId="61" fillId="0" borderId="0" xfId="0" applyFont="1"/>
    <xf numFmtId="0" fontId="26" fillId="4" borderId="0" xfId="0" applyFont="1" applyFill="1"/>
    <xf numFmtId="0" fontId="62" fillId="4" borderId="0" xfId="0" applyFont="1" applyFill="1"/>
    <xf numFmtId="17" fontId="0" fillId="0" borderId="0" xfId="0" applyNumberFormat="1"/>
    <xf numFmtId="166" fontId="0" fillId="0" borderId="1" xfId="0" applyNumberFormat="1" applyBorder="1"/>
    <xf numFmtId="0" fontId="32" fillId="0" borderId="5" xfId="0" applyFont="1" applyBorder="1"/>
    <xf numFmtId="3" fontId="0" fillId="4" borderId="1" xfId="0" applyNumberFormat="1" applyFill="1" applyBorder="1"/>
    <xf numFmtId="17" fontId="0" fillId="0" borderId="1" xfId="0" applyNumberFormat="1" applyBorder="1"/>
    <xf numFmtId="9" fontId="0" fillId="0" borderId="1" xfId="3" applyNumberFormat="1" applyFont="1" applyBorder="1"/>
    <xf numFmtId="0" fontId="63" fillId="0" borderId="1" xfId="0" applyFont="1" applyBorder="1"/>
    <xf numFmtId="0" fontId="0" fillId="37" borderId="1" xfId="0" applyFill="1" applyBorder="1"/>
    <xf numFmtId="0" fontId="0" fillId="7" borderId="1" xfId="0" applyFill="1" applyBorder="1"/>
    <xf numFmtId="0" fontId="0" fillId="4" borderId="8" xfId="0" applyFill="1" applyBorder="1"/>
    <xf numFmtId="0" fontId="32" fillId="4" borderId="6" xfId="0" applyFont="1" applyFill="1" applyBorder="1"/>
    <xf numFmtId="0" fontId="26" fillId="4" borderId="6" xfId="0" applyFont="1" applyFill="1" applyBorder="1"/>
    <xf numFmtId="0" fontId="0" fillId="4" borderId="9" xfId="0" applyFill="1" applyBorder="1"/>
    <xf numFmtId="0" fontId="0" fillId="4" borderId="7" xfId="0" applyFill="1" applyBorder="1"/>
    <xf numFmtId="0" fontId="0" fillId="8" borderId="1" xfId="0" applyFill="1" applyBorder="1"/>
    <xf numFmtId="3" fontId="25" fillId="4" borderId="1" xfId="0" applyNumberFormat="1" applyFont="1" applyFill="1" applyBorder="1"/>
    <xf numFmtId="0" fontId="42" fillId="4" borderId="1" xfId="0" applyFont="1" applyFill="1" applyBorder="1"/>
    <xf numFmtId="16" fontId="42" fillId="4" borderId="1" xfId="0" applyNumberFormat="1" applyFont="1" applyFill="1" applyBorder="1"/>
    <xf numFmtId="0" fontId="39" fillId="4" borderId="1" xfId="0" applyFont="1" applyFill="1" applyBorder="1"/>
    <xf numFmtId="0" fontId="64" fillId="4" borderId="1" xfId="0" applyFont="1" applyFill="1" applyBorder="1"/>
    <xf numFmtId="3" fontId="65" fillId="4" borderId="1" xfId="0" applyNumberFormat="1" applyFont="1" applyFill="1" applyBorder="1"/>
    <xf numFmtId="0" fontId="57" fillId="4" borderId="1" xfId="0" applyFont="1" applyFill="1" applyBorder="1"/>
    <xf numFmtId="3" fontId="57" fillId="4" borderId="1" xfId="0" applyNumberFormat="1" applyFont="1" applyFill="1" applyBorder="1"/>
    <xf numFmtId="0" fontId="66" fillId="4" borderId="1" xfId="0" applyFont="1" applyFill="1" applyBorder="1"/>
    <xf numFmtId="0" fontId="65" fillId="4" borderId="1" xfId="0" applyFont="1" applyFill="1" applyBorder="1"/>
    <xf numFmtId="0" fontId="26" fillId="39" borderId="1" xfId="0" applyFont="1" applyFill="1" applyBorder="1"/>
    <xf numFmtId="0" fontId="0" fillId="39" borderId="1" xfId="0" applyFill="1" applyBorder="1"/>
    <xf numFmtId="0" fontId="72" fillId="7" borderId="1" xfId="0" applyFont="1" applyFill="1" applyBorder="1"/>
    <xf numFmtId="0" fontId="26" fillId="40" borderId="1" xfId="0" applyFont="1" applyFill="1" applyBorder="1"/>
    <xf numFmtId="0" fontId="3" fillId="30" borderId="1" xfId="0" applyFont="1" applyFill="1" applyBorder="1"/>
    <xf numFmtId="0" fontId="0" fillId="0" borderId="1" xfId="0" applyFill="1" applyBorder="1"/>
    <xf numFmtId="0" fontId="3" fillId="13" borderId="1" xfId="0" applyFont="1" applyFill="1" applyBorder="1"/>
    <xf numFmtId="0" fontId="3" fillId="19" borderId="1" xfId="0" applyFont="1" applyFill="1" applyBorder="1"/>
    <xf numFmtId="0" fontId="3" fillId="0" borderId="1" xfId="0" applyFont="1" applyBorder="1"/>
    <xf numFmtId="0" fontId="0" fillId="41" borderId="1" xfId="0" applyFill="1" applyBorder="1"/>
    <xf numFmtId="0" fontId="0" fillId="42" borderId="1" xfId="0" applyFill="1" applyBorder="1"/>
    <xf numFmtId="0" fontId="3" fillId="41" borderId="1" xfId="0" applyFont="1" applyFill="1" applyBorder="1"/>
    <xf numFmtId="0" fontId="0" fillId="45" borderId="1" xfId="0" applyFill="1" applyBorder="1" applyAlignment="1">
      <alignment horizontal="center"/>
    </xf>
    <xf numFmtId="0" fontId="70" fillId="45" borderId="1" xfId="0" applyFont="1" applyFill="1" applyBorder="1" applyAlignment="1">
      <alignment horizontal="center"/>
    </xf>
    <xf numFmtId="0" fontId="0" fillId="46" borderId="1" xfId="0" applyFill="1" applyBorder="1"/>
    <xf numFmtId="0" fontId="24" fillId="4" borderId="10" xfId="0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165" fontId="0" fillId="4" borderId="1" xfId="0" applyNumberFormat="1" applyFill="1" applyBorder="1"/>
    <xf numFmtId="0" fontId="24" fillId="4" borderId="1" xfId="0" applyFont="1" applyFill="1" applyBorder="1"/>
    <xf numFmtId="2" fontId="72" fillId="0" borderId="1" xfId="0" applyNumberFormat="1" applyFont="1" applyFill="1" applyBorder="1"/>
    <xf numFmtId="0" fontId="72" fillId="0" borderId="1" xfId="0" applyFont="1" applyFill="1" applyBorder="1"/>
    <xf numFmtId="0" fontId="0" fillId="47" borderId="1" xfId="0" applyFill="1" applyBorder="1"/>
    <xf numFmtId="0" fontId="0" fillId="44" borderId="1" xfId="0" applyFill="1" applyBorder="1"/>
    <xf numFmtId="0" fontId="0" fillId="43" borderId="1" xfId="0" applyFill="1" applyBorder="1"/>
    <xf numFmtId="0" fontId="0" fillId="40" borderId="1" xfId="0" applyFill="1" applyBorder="1"/>
    <xf numFmtId="0" fontId="0" fillId="45" borderId="1" xfId="0" applyFill="1" applyBorder="1"/>
    <xf numFmtId="0" fontId="37" fillId="40" borderId="1" xfId="0" applyFont="1" applyFill="1" applyBorder="1" applyAlignment="1">
      <alignment horizontal="center"/>
    </xf>
    <xf numFmtId="0" fontId="32" fillId="40" borderId="1" xfId="0" applyFont="1" applyFill="1" applyBorder="1" applyAlignment="1">
      <alignment horizontal="center"/>
    </xf>
    <xf numFmtId="0" fontId="26" fillId="40" borderId="1" xfId="0" applyFont="1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40" borderId="3" xfId="0" applyFill="1" applyBorder="1"/>
    <xf numFmtId="0" fontId="38" fillId="48" borderId="1" xfId="0" applyFont="1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38" borderId="1" xfId="0" applyFill="1" applyBorder="1"/>
    <xf numFmtId="0" fontId="39" fillId="38" borderId="3" xfId="0" applyFont="1" applyFill="1" applyBorder="1"/>
    <xf numFmtId="0" fontId="45" fillId="40" borderId="1" xfId="0" applyFont="1" applyFill="1" applyBorder="1" applyAlignment="1">
      <alignment horizontal="center"/>
    </xf>
    <xf numFmtId="0" fontId="26" fillId="0" borderId="1" xfId="0" applyFont="1" applyFill="1" applyBorder="1"/>
    <xf numFmtId="0" fontId="23" fillId="0" borderId="1" xfId="0" applyFont="1" applyFill="1" applyBorder="1"/>
    <xf numFmtId="0" fontId="32" fillId="0" borderId="1" xfId="0" applyFont="1" applyFill="1" applyBorder="1"/>
    <xf numFmtId="0" fontId="37" fillId="40" borderId="1" xfId="0" applyFont="1" applyFill="1" applyBorder="1"/>
    <xf numFmtId="0" fontId="37" fillId="40" borderId="3" xfId="0" applyFont="1" applyFill="1" applyBorder="1"/>
    <xf numFmtId="0" fontId="39" fillId="40" borderId="3" xfId="0" applyFont="1" applyFill="1" applyBorder="1"/>
    <xf numFmtId="0" fontId="72" fillId="40" borderId="1" xfId="0" applyFont="1" applyFill="1" applyBorder="1" applyAlignment="1">
      <alignment horizontal="center"/>
    </xf>
    <xf numFmtId="0" fontId="72" fillId="40" borderId="1" xfId="2" applyNumberFormat="1" applyFont="1" applyFill="1" applyBorder="1" applyAlignment="1">
      <alignment horizontal="center"/>
    </xf>
    <xf numFmtId="0" fontId="26" fillId="40" borderId="1" xfId="2" applyNumberFormat="1" applyFont="1" applyFill="1" applyBorder="1" applyAlignment="1">
      <alignment horizontal="center"/>
    </xf>
    <xf numFmtId="0" fontId="23" fillId="40" borderId="1" xfId="0" applyFont="1" applyFill="1" applyBorder="1"/>
    <xf numFmtId="0" fontId="32" fillId="40" borderId="1" xfId="2" applyNumberFormat="1" applyFont="1" applyFill="1" applyBorder="1" applyAlignment="1">
      <alignment horizontal="center"/>
    </xf>
    <xf numFmtId="0" fontId="32" fillId="40" borderId="1" xfId="0" applyFont="1" applyFill="1" applyBorder="1"/>
    <xf numFmtId="0" fontId="27" fillId="40" borderId="1" xfId="0" applyFont="1" applyFill="1" applyBorder="1" applyAlignment="1">
      <alignment horizontal="center"/>
    </xf>
    <xf numFmtId="0" fontId="23" fillId="40" borderId="3" xfId="0" applyFont="1" applyFill="1" applyBorder="1"/>
    <xf numFmtId="0" fontId="26" fillId="40" borderId="3" xfId="0" applyFont="1" applyFill="1" applyBorder="1"/>
    <xf numFmtId="0" fontId="32" fillId="40" borderId="3" xfId="0" applyFont="1" applyFill="1" applyBorder="1"/>
    <xf numFmtId="0" fontId="0" fillId="40" borderId="1" xfId="2" applyNumberFormat="1" applyFont="1" applyFill="1" applyBorder="1"/>
    <xf numFmtId="0" fontId="71" fillId="40" borderId="1" xfId="0" applyFont="1" applyFill="1" applyBorder="1" applyAlignment="1">
      <alignment horizontal="center"/>
    </xf>
    <xf numFmtId="0" fontId="5" fillId="19" borderId="1" xfId="0" applyNumberFormat="1" applyFont="1" applyFill="1" applyBorder="1" applyAlignment="1">
      <alignment horizontal="center"/>
    </xf>
    <xf numFmtId="0" fontId="7" fillId="5" borderId="1" xfId="0" applyNumberFormat="1" applyFont="1" applyFill="1" applyBorder="1" applyAlignment="1">
      <alignment horizontal="center"/>
    </xf>
    <xf numFmtId="0" fontId="8" fillId="5" borderId="1" xfId="2" applyNumberFormat="1" applyFont="1" applyFill="1" applyBorder="1"/>
    <xf numFmtId="0" fontId="5" fillId="5" borderId="1" xfId="0" applyNumberFormat="1" applyFont="1" applyFill="1" applyBorder="1" applyAlignment="1">
      <alignment horizontal="center"/>
    </xf>
    <xf numFmtId="0" fontId="9" fillId="5" borderId="0" xfId="0" applyNumberFormat="1" applyFont="1" applyFill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/>
    </xf>
    <xf numFmtId="0" fontId="11" fillId="5" borderId="1" xfId="0" applyNumberFormat="1" applyFont="1" applyFill="1" applyBorder="1" applyAlignment="1">
      <alignment horizontal="center"/>
    </xf>
    <xf numFmtId="0" fontId="10" fillId="6" borderId="1" xfId="0" applyNumberFormat="1" applyFont="1" applyFill="1" applyBorder="1" applyAlignment="1">
      <alignment horizontal="center"/>
    </xf>
    <xf numFmtId="0" fontId="5" fillId="6" borderId="1" xfId="0" applyNumberFormat="1" applyFont="1" applyFill="1" applyBorder="1" applyAlignment="1">
      <alignment horizontal="center"/>
    </xf>
    <xf numFmtId="0" fontId="11" fillId="6" borderId="1" xfId="0" applyNumberFormat="1" applyFont="1" applyFill="1" applyBorder="1" applyAlignment="1">
      <alignment horizontal="center"/>
    </xf>
    <xf numFmtId="0" fontId="10" fillId="7" borderId="1" xfId="0" applyNumberFormat="1" applyFont="1" applyFill="1" applyBorder="1" applyAlignment="1">
      <alignment horizontal="center"/>
    </xf>
    <xf numFmtId="0" fontId="11" fillId="7" borderId="1" xfId="0" applyNumberFormat="1" applyFont="1" applyFill="1" applyBorder="1" applyAlignment="1">
      <alignment horizontal="center"/>
    </xf>
    <xf numFmtId="0" fontId="5" fillId="8" borderId="1" xfId="0" applyNumberFormat="1" applyFont="1" applyFill="1" applyBorder="1" applyAlignment="1">
      <alignment horizontal="center"/>
    </xf>
    <xf numFmtId="0" fontId="10" fillId="8" borderId="1" xfId="0" applyNumberFormat="1" applyFont="1" applyFill="1" applyBorder="1" applyAlignment="1">
      <alignment horizontal="center"/>
    </xf>
    <xf numFmtId="0" fontId="12" fillId="8" borderId="1" xfId="0" applyNumberFormat="1" applyFont="1" applyFill="1" applyBorder="1" applyAlignment="1">
      <alignment horizontal="center"/>
    </xf>
    <xf numFmtId="0" fontId="5" fillId="11" borderId="1" xfId="0" applyNumberFormat="1" applyFont="1" applyFill="1" applyBorder="1" applyAlignment="1">
      <alignment horizontal="center"/>
    </xf>
    <xf numFmtId="0" fontId="10" fillId="11" borderId="1" xfId="0" applyNumberFormat="1" applyFont="1" applyFill="1" applyBorder="1" applyAlignment="1">
      <alignment horizontal="center"/>
    </xf>
    <xf numFmtId="0" fontId="11" fillId="11" borderId="1" xfId="0" applyNumberFormat="1" applyFont="1" applyFill="1" applyBorder="1" applyAlignment="1">
      <alignment horizontal="center"/>
    </xf>
    <xf numFmtId="0" fontId="10" fillId="13" borderId="1" xfId="0" applyNumberFormat="1" applyFont="1" applyFill="1" applyBorder="1" applyAlignment="1">
      <alignment horizontal="center"/>
    </xf>
    <xf numFmtId="0" fontId="16" fillId="13" borderId="1" xfId="0" applyNumberFormat="1" applyFont="1" applyFill="1" applyBorder="1" applyAlignment="1">
      <alignment horizontal="center"/>
    </xf>
    <xf numFmtId="0" fontId="7" fillId="13" borderId="1" xfId="0" applyNumberFormat="1" applyFont="1" applyFill="1" applyBorder="1" applyAlignment="1">
      <alignment horizontal="center"/>
    </xf>
    <xf numFmtId="0" fontId="5" fillId="13" borderId="1" xfId="0" applyNumberFormat="1" applyFont="1" applyFill="1" applyBorder="1" applyAlignment="1">
      <alignment horizontal="center"/>
    </xf>
    <xf numFmtId="0" fontId="11" fillId="13" borderId="1" xfId="0" applyNumberFormat="1" applyFont="1" applyFill="1" applyBorder="1" applyAlignment="1">
      <alignment horizontal="center"/>
    </xf>
    <xf numFmtId="0" fontId="7" fillId="14" borderId="1" xfId="0" applyNumberFormat="1" applyFont="1" applyFill="1" applyBorder="1" applyAlignment="1">
      <alignment horizontal="center"/>
    </xf>
    <xf numFmtId="0" fontId="11" fillId="14" borderId="1" xfId="0" applyNumberFormat="1" applyFont="1" applyFill="1" applyBorder="1" applyAlignment="1">
      <alignment horizontal="center"/>
    </xf>
    <xf numFmtId="0" fontId="7" fillId="15" borderId="1" xfId="0" applyNumberFormat="1" applyFont="1" applyFill="1" applyBorder="1" applyAlignment="1">
      <alignment horizontal="center"/>
    </xf>
    <xf numFmtId="0" fontId="11" fillId="15" borderId="1" xfId="0" applyNumberFormat="1" applyFont="1" applyFill="1" applyBorder="1" applyAlignment="1">
      <alignment horizontal="center"/>
    </xf>
    <xf numFmtId="0" fontId="10" fillId="16" borderId="1" xfId="0" applyNumberFormat="1" applyFont="1" applyFill="1" applyBorder="1" applyAlignment="1">
      <alignment horizontal="center"/>
    </xf>
    <xf numFmtId="0" fontId="16" fillId="7" borderId="1" xfId="0" applyNumberFormat="1" applyFont="1" applyFill="1" applyBorder="1" applyAlignment="1">
      <alignment horizontal="center"/>
    </xf>
    <xf numFmtId="0" fontId="7" fillId="7" borderId="1" xfId="0" applyNumberFormat="1" applyFont="1" applyFill="1" applyBorder="1" applyAlignment="1">
      <alignment horizontal="center"/>
    </xf>
    <xf numFmtId="0" fontId="11" fillId="16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center"/>
    </xf>
    <xf numFmtId="0" fontId="12" fillId="4" borderId="1" xfId="0" applyNumberFormat="1" applyFont="1" applyFill="1" applyBorder="1" applyAlignment="1">
      <alignment horizontal="center"/>
    </xf>
    <xf numFmtId="0" fontId="12" fillId="19" borderId="1" xfId="0" applyNumberFormat="1" applyFont="1" applyFill="1" applyBorder="1" applyAlignment="1">
      <alignment horizontal="center"/>
    </xf>
    <xf numFmtId="0" fontId="21" fillId="20" borderId="1" xfId="0" applyNumberFormat="1" applyFont="1" applyFill="1" applyBorder="1"/>
    <xf numFmtId="0" fontId="22" fillId="20" borderId="1" xfId="0" applyNumberFormat="1" applyFont="1" applyFill="1" applyBorder="1"/>
    <xf numFmtId="0" fontId="73" fillId="40" borderId="1" xfId="0" applyFont="1" applyFill="1" applyBorder="1" applyAlignment="1">
      <alignment horizontal="center"/>
    </xf>
    <xf numFmtId="0" fontId="73" fillId="40" borderId="1" xfId="0" applyFont="1" applyFill="1" applyBorder="1"/>
    <xf numFmtId="0" fontId="3" fillId="7" borderId="1" xfId="0" applyFont="1" applyFill="1" applyBorder="1"/>
    <xf numFmtId="0" fontId="3" fillId="43" borderId="1" xfId="0" applyFont="1" applyFill="1" applyBorder="1"/>
    <xf numFmtId="0" fontId="39" fillId="43" borderId="1" xfId="0" applyFont="1" applyFill="1" applyBorder="1"/>
    <xf numFmtId="0" fontId="0" fillId="49" borderId="1" xfId="0" applyFill="1" applyBorder="1"/>
    <xf numFmtId="0" fontId="39" fillId="49" borderId="1" xfId="0" applyFont="1" applyFill="1" applyBorder="1"/>
    <xf numFmtId="0" fontId="26" fillId="49" borderId="1" xfId="0" applyFont="1" applyFill="1" applyBorder="1"/>
    <xf numFmtId="0" fontId="72" fillId="47" borderId="1" xfId="0" applyFont="1" applyFill="1" applyBorder="1"/>
    <xf numFmtId="0" fontId="2" fillId="50" borderId="1" xfId="0" applyFont="1" applyFill="1" applyBorder="1"/>
    <xf numFmtId="0" fontId="0" fillId="50" borderId="1" xfId="0" applyFill="1" applyBorder="1"/>
    <xf numFmtId="0" fontId="0" fillId="4" borderId="0" xfId="0" applyFill="1" applyBorder="1"/>
    <xf numFmtId="0" fontId="39" fillId="50" borderId="1" xfId="0" applyFont="1" applyFill="1" applyBorder="1"/>
    <xf numFmtId="0" fontId="0" fillId="50" borderId="3" xfId="0" applyFill="1" applyBorder="1"/>
    <xf numFmtId="0" fontId="2" fillId="51" borderId="1" xfId="0" applyFont="1" applyFill="1" applyBorder="1"/>
    <xf numFmtId="0" fontId="0" fillId="51" borderId="1" xfId="0" applyFill="1" applyBorder="1"/>
    <xf numFmtId="0" fontId="0" fillId="52" borderId="1" xfId="0" applyFill="1" applyBorder="1"/>
    <xf numFmtId="0" fontId="0" fillId="52" borderId="3" xfId="0" applyFill="1" applyBorder="1"/>
    <xf numFmtId="0" fontId="0" fillId="53" borderId="1" xfId="0" applyFill="1" applyBorder="1"/>
    <xf numFmtId="0" fontId="72" fillId="53" borderId="1" xfId="0" applyFont="1" applyFill="1" applyBorder="1"/>
    <xf numFmtId="0" fontId="72" fillId="51" borderId="1" xfId="0" applyFont="1" applyFill="1" applyBorder="1"/>
    <xf numFmtId="0" fontId="38" fillId="54" borderId="1" xfId="0" applyFont="1" applyFill="1" applyBorder="1"/>
    <xf numFmtId="0" fontId="38" fillId="54" borderId="1" xfId="0" applyFont="1" applyFill="1" applyBorder="1" applyAlignment="1">
      <alignment horizontal="center"/>
    </xf>
    <xf numFmtId="0" fontId="74" fillId="45" borderId="1" xfId="0" applyFont="1" applyFill="1" applyBorder="1" applyAlignment="1">
      <alignment horizontal="center"/>
    </xf>
    <xf numFmtId="0" fontId="26" fillId="55" borderId="1" xfId="0" applyFont="1" applyFill="1" applyBorder="1"/>
    <xf numFmtId="0" fontId="23" fillId="55" borderId="1" xfId="0" applyFont="1" applyFill="1" applyBorder="1"/>
    <xf numFmtId="0" fontId="26" fillId="51" borderId="1" xfId="0" applyFont="1" applyFill="1" applyBorder="1"/>
    <xf numFmtId="0" fontId="23" fillId="51" borderId="1" xfId="0" applyFont="1" applyFill="1" applyBorder="1"/>
    <xf numFmtId="0" fontId="72" fillId="51" borderId="1" xfId="2" applyNumberFormat="1" applyFont="1" applyFill="1" applyBorder="1"/>
    <xf numFmtId="0" fontId="26" fillId="56" borderId="1" xfId="0" applyFont="1" applyFill="1" applyBorder="1"/>
    <xf numFmtId="0" fontId="40" fillId="56" borderId="1" xfId="0" applyFont="1" applyFill="1" applyBorder="1"/>
    <xf numFmtId="0" fontId="23" fillId="56" borderId="1" xfId="0" applyFont="1" applyFill="1" applyBorder="1"/>
    <xf numFmtId="0" fontId="73" fillId="51" borderId="1" xfId="0" applyFont="1" applyFill="1" applyBorder="1"/>
    <xf numFmtId="0" fontId="0" fillId="56" borderId="1" xfId="0" applyFill="1" applyBorder="1"/>
    <xf numFmtId="0" fontId="70" fillId="51" borderId="1" xfId="0" applyFont="1" applyFill="1" applyBorder="1"/>
    <xf numFmtId="0" fontId="45" fillId="51" borderId="1" xfId="0" applyFont="1" applyFill="1" applyBorder="1"/>
    <xf numFmtId="0" fontId="1" fillId="0" borderId="1" xfId="0" applyFont="1" applyFill="1" applyBorder="1"/>
    <xf numFmtId="0" fontId="1" fillId="0" borderId="1" xfId="0" applyFont="1" applyBorder="1"/>
  </cellXfs>
  <cellStyles count="4">
    <cellStyle name="Hipervínculo" xfId="1" builtinId="8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de Windows" id="{A4AE69BA-9340-CE29-3B5B-15186EF8DE38}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0" personId="{A4AE69BA-9340-CE29-3B5B-15186EF8DE38}" id="{00D000C2-001C-4CE9-8B9F-00450006001F}" done="0">
    <text xml:space="preserve">yutfgK2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davidabrilperrig@gmail.com" TargetMode="External"/><Relationship Id="rId1" Type="http://schemas.openxmlformats.org/officeDocument/2006/relationships/hyperlink" Target="mailto:Cecilia411@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workbookViewId="0">
      <selection activeCell="I18" sqref="I18"/>
    </sheetView>
  </sheetViews>
  <sheetFormatPr baseColWidth="10" defaultColWidth="11.42578125" defaultRowHeight="15"/>
  <cols>
    <col min="1" max="1" width="17.28515625" customWidth="1"/>
    <col min="2" max="2" width="9.140625" customWidth="1"/>
    <col min="3" max="3" width="8.140625" customWidth="1"/>
    <col min="4" max="4" width="6.85546875" customWidth="1"/>
    <col min="5" max="5" width="8.5703125" customWidth="1"/>
    <col min="6" max="6" width="6.7109375" customWidth="1"/>
    <col min="7" max="7" width="11.85546875" customWidth="1"/>
    <col min="8" max="9" width="14.5703125" customWidth="1"/>
    <col min="10" max="10" width="12.7109375" customWidth="1"/>
    <col min="11" max="11" width="13" customWidth="1"/>
    <col min="12" max="12" width="12.28515625" customWidth="1"/>
    <col min="13" max="13" width="15.42578125" customWidth="1"/>
    <col min="14" max="17" width="11.42578125" hidden="1" customWidth="1"/>
    <col min="18" max="18" width="15.7109375" hidden="1" customWidth="1"/>
    <col min="19" max="19" width="24.28515625" hidden="1" customWidth="1"/>
    <col min="20" max="20" width="17.140625" hidden="1" customWidth="1"/>
    <col min="21" max="21" width="10.42578125" customWidth="1"/>
  </cols>
  <sheetData>
    <row r="1" spans="1:26" s="1" customFormat="1" ht="27" customHeight="1">
      <c r="A1" s="2"/>
      <c r="B1" s="3">
        <v>46023</v>
      </c>
      <c r="C1" s="3">
        <v>46054</v>
      </c>
      <c r="D1" s="3">
        <v>46082</v>
      </c>
      <c r="E1" s="3">
        <v>46113</v>
      </c>
      <c r="F1" s="3">
        <v>46143</v>
      </c>
      <c r="G1" s="3">
        <v>46174</v>
      </c>
      <c r="H1" s="3">
        <v>46204</v>
      </c>
      <c r="I1" s="2" t="s">
        <v>0</v>
      </c>
      <c r="J1" s="3">
        <v>46266</v>
      </c>
      <c r="K1" s="3">
        <v>46296</v>
      </c>
      <c r="L1" s="3">
        <v>46327</v>
      </c>
      <c r="M1" s="3">
        <v>46357</v>
      </c>
      <c r="N1" s="4"/>
      <c r="O1" s="5"/>
      <c r="P1" s="5"/>
      <c r="Q1" s="5"/>
      <c r="R1" s="6"/>
      <c r="S1" s="6"/>
      <c r="T1" s="6"/>
      <c r="U1" s="7"/>
      <c r="V1" s="7"/>
      <c r="W1" s="7"/>
      <c r="X1" s="7"/>
      <c r="Y1" s="7"/>
    </row>
    <row r="2" spans="1:26" ht="18" customHeight="1">
      <c r="A2" s="8" t="s">
        <v>1</v>
      </c>
      <c r="B2" s="279">
        <v>1620000</v>
      </c>
      <c r="C2" s="279">
        <v>1120000</v>
      </c>
      <c r="D2" s="280">
        <v>1120000</v>
      </c>
      <c r="E2" s="281">
        <v>1120000</v>
      </c>
      <c r="F2" s="281">
        <v>1120000</v>
      </c>
      <c r="G2" s="281">
        <v>1720000</v>
      </c>
      <c r="H2" s="281">
        <v>1700000</v>
      </c>
      <c r="I2" s="281">
        <v>1600000</v>
      </c>
      <c r="J2" s="282">
        <v>1560000</v>
      </c>
      <c r="K2" s="283">
        <v>1560000</v>
      </c>
      <c r="L2" s="284">
        <v>1560000</v>
      </c>
      <c r="M2" s="285">
        <v>1560000</v>
      </c>
      <c r="N2" s="9"/>
      <c r="O2" s="9"/>
      <c r="P2" s="9"/>
      <c r="Q2" s="9"/>
      <c r="R2" s="10"/>
      <c r="S2" s="10"/>
      <c r="T2" s="10"/>
      <c r="U2" s="11"/>
      <c r="V2" s="12"/>
      <c r="W2" s="13"/>
      <c r="X2" s="13"/>
      <c r="Y2" s="13"/>
    </row>
    <row r="3" spans="1:26" ht="18" customHeight="1">
      <c r="A3" s="14" t="s">
        <v>2</v>
      </c>
      <c r="B3" s="286">
        <v>200000</v>
      </c>
      <c r="C3" s="286">
        <v>200000</v>
      </c>
      <c r="D3" s="286">
        <v>200000</v>
      </c>
      <c r="E3" s="286">
        <v>200000</v>
      </c>
      <c r="F3" s="286">
        <v>200000</v>
      </c>
      <c r="G3" s="286">
        <v>181152</v>
      </c>
      <c r="H3" s="287">
        <v>181152</v>
      </c>
      <c r="I3" s="287">
        <v>181152</v>
      </c>
      <c r="J3" s="287">
        <v>181152</v>
      </c>
      <c r="K3" s="286">
        <v>181152</v>
      </c>
      <c r="L3" s="286">
        <v>181152</v>
      </c>
      <c r="M3" s="288">
        <v>181152</v>
      </c>
      <c r="N3" s="15"/>
      <c r="O3" s="16" t="s">
        <v>3</v>
      </c>
      <c r="P3" s="16" t="s">
        <v>4</v>
      </c>
      <c r="Q3" s="16" t="s">
        <v>5</v>
      </c>
      <c r="R3" s="17"/>
      <c r="S3" s="18"/>
      <c r="T3" s="17"/>
      <c r="U3" s="12"/>
      <c r="V3" s="11"/>
      <c r="W3" s="13"/>
      <c r="X3" s="13"/>
      <c r="Y3" s="13"/>
    </row>
    <row r="4" spans="1:26" ht="18" customHeight="1">
      <c r="A4" s="19" t="s">
        <v>6</v>
      </c>
      <c r="B4" s="289">
        <v>6200</v>
      </c>
      <c r="C4" s="289">
        <v>6200</v>
      </c>
      <c r="D4" s="289"/>
      <c r="E4" s="289"/>
      <c r="F4" s="289"/>
      <c r="G4" s="289">
        <v>59400</v>
      </c>
      <c r="H4" s="289">
        <v>59400</v>
      </c>
      <c r="I4" s="289">
        <v>59400</v>
      </c>
      <c r="J4" s="289">
        <v>28120</v>
      </c>
      <c r="K4" s="289">
        <v>28120</v>
      </c>
      <c r="L4" s="289">
        <v>28120</v>
      </c>
      <c r="M4" s="290">
        <v>6200</v>
      </c>
      <c r="N4" s="18" t="s">
        <v>7</v>
      </c>
      <c r="O4" s="18">
        <v>56400</v>
      </c>
      <c r="P4" s="18"/>
      <c r="Q4" s="17"/>
      <c r="R4" s="18"/>
      <c r="S4" s="18"/>
      <c r="T4" s="17"/>
      <c r="U4" s="20"/>
      <c r="V4" s="11"/>
      <c r="W4" s="11"/>
      <c r="X4" s="13"/>
      <c r="Y4" s="13"/>
    </row>
    <row r="5" spans="1:26" ht="18" customHeight="1">
      <c r="A5" s="21" t="s">
        <v>8</v>
      </c>
      <c r="B5" s="291">
        <v>450000</v>
      </c>
      <c r="C5" s="291">
        <v>450000</v>
      </c>
      <c r="D5" s="291">
        <v>450000</v>
      </c>
      <c r="E5" s="291">
        <v>450000</v>
      </c>
      <c r="F5" s="292">
        <v>450000</v>
      </c>
      <c r="G5" s="291">
        <v>400000</v>
      </c>
      <c r="H5" s="291">
        <v>400000</v>
      </c>
      <c r="I5" s="291">
        <v>420000</v>
      </c>
      <c r="J5" s="291">
        <v>450000</v>
      </c>
      <c r="K5" s="291">
        <v>450000</v>
      </c>
      <c r="L5" s="291">
        <v>450000</v>
      </c>
      <c r="M5" s="293">
        <v>450000</v>
      </c>
      <c r="N5" s="18" t="s">
        <v>9</v>
      </c>
      <c r="O5" s="18"/>
      <c r="P5" s="22"/>
      <c r="Q5" s="23"/>
      <c r="R5" s="18"/>
      <c r="S5" s="18"/>
      <c r="T5" s="17"/>
      <c r="U5" s="11"/>
      <c r="V5" s="13"/>
      <c r="W5" s="13"/>
      <c r="X5" s="13"/>
      <c r="Y5" s="13"/>
      <c r="Z5" s="24"/>
    </row>
    <row r="6" spans="1:26" ht="14.25" customHeight="1">
      <c r="A6" s="25" t="s">
        <v>10</v>
      </c>
      <c r="B6" s="294">
        <v>30000</v>
      </c>
      <c r="C6" s="294">
        <v>30000</v>
      </c>
      <c r="D6" s="295">
        <v>30000</v>
      </c>
      <c r="E6" s="295">
        <v>30000</v>
      </c>
      <c r="F6" s="295">
        <v>30000</v>
      </c>
      <c r="G6" s="295">
        <v>25000</v>
      </c>
      <c r="H6" s="295">
        <v>25000</v>
      </c>
      <c r="I6" s="295">
        <v>25000</v>
      </c>
      <c r="J6" s="295">
        <v>25000</v>
      </c>
      <c r="K6" s="295">
        <v>25000</v>
      </c>
      <c r="L6" s="295">
        <v>25000</v>
      </c>
      <c r="M6" s="296">
        <v>25000</v>
      </c>
      <c r="N6" s="18" t="s">
        <v>11</v>
      </c>
      <c r="O6" s="26"/>
      <c r="P6" s="27"/>
      <c r="Q6" s="28"/>
      <c r="R6" s="18"/>
      <c r="S6" s="18"/>
      <c r="T6" s="17"/>
      <c r="U6" s="11"/>
      <c r="V6" s="13"/>
      <c r="W6" s="13"/>
      <c r="X6" s="13"/>
      <c r="Y6" s="13"/>
      <c r="Z6" s="24"/>
    </row>
    <row r="7" spans="1:26" ht="14.25" customHeight="1">
      <c r="A7" s="29" t="s">
        <v>12</v>
      </c>
      <c r="B7" s="297">
        <v>120000</v>
      </c>
      <c r="C7" s="297">
        <v>120000</v>
      </c>
      <c r="D7" s="298">
        <v>120000</v>
      </c>
      <c r="E7" s="299">
        <v>120000</v>
      </c>
      <c r="F7" s="299">
        <v>120000</v>
      </c>
      <c r="G7" s="297">
        <v>105000</v>
      </c>
      <c r="H7" s="297">
        <v>105000</v>
      </c>
      <c r="I7" s="298">
        <v>105000</v>
      </c>
      <c r="J7" s="297">
        <v>105000</v>
      </c>
      <c r="K7" s="300">
        <v>105000</v>
      </c>
      <c r="L7" s="297">
        <v>105000</v>
      </c>
      <c r="M7" s="301">
        <v>105000</v>
      </c>
      <c r="N7" s="18" t="s">
        <v>13</v>
      </c>
      <c r="O7" s="18"/>
      <c r="P7" s="27"/>
      <c r="Q7" s="30">
        <v>44613</v>
      </c>
      <c r="R7" s="31"/>
      <c r="S7" s="18"/>
      <c r="T7" s="17"/>
      <c r="U7" s="11"/>
      <c r="V7" s="13"/>
      <c r="W7" s="13"/>
      <c r="X7" s="13"/>
      <c r="Y7" s="13"/>
      <c r="Z7" s="24"/>
    </row>
    <row r="8" spans="1:26" ht="13.5" customHeight="1">
      <c r="A8" s="32" t="s">
        <v>14</v>
      </c>
      <c r="B8" s="302"/>
      <c r="C8" s="302"/>
      <c r="D8" s="302"/>
      <c r="E8" s="302"/>
      <c r="F8" s="302"/>
      <c r="G8" s="302">
        <v>66387</v>
      </c>
      <c r="H8" s="302"/>
      <c r="I8" s="302"/>
      <c r="J8" s="302"/>
      <c r="K8" s="302"/>
      <c r="L8" s="302"/>
      <c r="M8" s="303"/>
      <c r="N8" s="18" t="s">
        <v>15</v>
      </c>
      <c r="O8" s="18"/>
      <c r="P8" s="18"/>
      <c r="Q8" s="33">
        <v>44609</v>
      </c>
      <c r="R8" s="26"/>
      <c r="S8" s="18"/>
      <c r="T8" s="17"/>
      <c r="U8" s="11"/>
      <c r="V8" s="11"/>
      <c r="W8" s="34"/>
      <c r="X8" s="11"/>
      <c r="Y8" s="11"/>
      <c r="Z8" s="24"/>
    </row>
    <row r="9" spans="1:26" ht="13.5" customHeight="1">
      <c r="A9" s="35" t="s">
        <v>16</v>
      </c>
      <c r="B9" s="304"/>
      <c r="C9" s="304"/>
      <c r="D9" s="304"/>
      <c r="E9" s="304"/>
      <c r="F9" s="304"/>
      <c r="G9" s="304">
        <v>280000</v>
      </c>
      <c r="H9" s="304">
        <v>560000</v>
      </c>
      <c r="I9" s="304">
        <v>640000</v>
      </c>
      <c r="J9" s="304"/>
      <c r="K9" s="304"/>
      <c r="L9" s="304"/>
      <c r="M9" s="305"/>
      <c r="N9" s="18"/>
      <c r="O9" s="18"/>
      <c r="P9" s="18"/>
      <c r="Q9" s="33"/>
      <c r="R9" s="26"/>
      <c r="S9" s="18"/>
      <c r="T9" s="17"/>
      <c r="U9" s="11"/>
      <c r="V9" s="36"/>
      <c r="W9" s="34"/>
      <c r="X9" s="11"/>
      <c r="Y9" s="11"/>
      <c r="Z9" s="24"/>
    </row>
    <row r="10" spans="1:26" ht="14.25" customHeight="1">
      <c r="A10" s="37" t="s">
        <v>194</v>
      </c>
      <c r="B10" s="306"/>
      <c r="C10" s="289"/>
      <c r="D10" s="307"/>
      <c r="E10" s="308"/>
      <c r="F10" s="308"/>
      <c r="G10" s="307">
        <v>10000</v>
      </c>
      <c r="H10" s="307">
        <v>10000</v>
      </c>
      <c r="I10" s="307">
        <v>10000</v>
      </c>
      <c r="J10" s="307">
        <v>10000</v>
      </c>
      <c r="K10" s="307">
        <v>10000</v>
      </c>
      <c r="L10" s="306"/>
      <c r="M10" s="309"/>
      <c r="N10" s="18" t="s">
        <v>17</v>
      </c>
      <c r="O10" s="18"/>
      <c r="P10" s="18"/>
      <c r="Q10" s="38"/>
      <c r="R10" s="18"/>
      <c r="S10" s="18"/>
      <c r="T10" s="17"/>
      <c r="U10" s="11"/>
      <c r="V10" s="36"/>
      <c r="W10" s="34"/>
      <c r="X10" s="11"/>
      <c r="Y10" s="11"/>
      <c r="Z10" s="24"/>
    </row>
    <row r="11" spans="1:26" s="39" customFormat="1" ht="16.5" customHeight="1">
      <c r="A11" s="14" t="s">
        <v>18</v>
      </c>
      <c r="B11" s="287">
        <f>SUM(B2:B10)</f>
        <v>2426200</v>
      </c>
      <c r="C11" s="287">
        <f>SUM(C2:C10)</f>
        <v>1926200</v>
      </c>
      <c r="D11" s="287">
        <f>SUM(D2:D10)</f>
        <v>1920000</v>
      </c>
      <c r="E11" s="287">
        <f>SUM(E2:E10)</f>
        <v>1920000</v>
      </c>
      <c r="F11" s="287">
        <f>SUM(F2:F10)</f>
        <v>1920000</v>
      </c>
      <c r="G11" s="287">
        <f>SUM(G2:G10)</f>
        <v>2846939</v>
      </c>
      <c r="H11" s="287">
        <f>SUM(H2:H10)</f>
        <v>3040552</v>
      </c>
      <c r="I11" s="286">
        <f>SUM(I2:I10)</f>
        <v>3040552</v>
      </c>
      <c r="J11" s="287">
        <f>SUM(J2:J10)</f>
        <v>2359272</v>
      </c>
      <c r="K11" s="287">
        <f>SUM(K2:K10)</f>
        <v>2359272</v>
      </c>
      <c r="L11" s="287">
        <f>SUM(L2:L10)</f>
        <v>2349272</v>
      </c>
      <c r="M11" s="40">
        <f>SUM(M2:M10)</f>
        <v>2327352</v>
      </c>
      <c r="N11" s="41" t="s">
        <v>19</v>
      </c>
      <c r="O11" s="42" t="s">
        <v>20</v>
      </c>
      <c r="P11" s="42" t="s">
        <v>21</v>
      </c>
      <c r="Q11" s="43" t="s">
        <v>22</v>
      </c>
      <c r="R11" s="41"/>
      <c r="S11" s="41"/>
      <c r="T11" s="44"/>
      <c r="U11" s="45"/>
      <c r="V11" s="46"/>
      <c r="W11" s="46"/>
      <c r="X11" s="47"/>
      <c r="Y11" s="48"/>
    </row>
    <row r="12" spans="1:26" ht="15.75" hidden="1">
      <c r="A12" s="49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1"/>
      <c r="N12" s="18" t="s">
        <v>19</v>
      </c>
      <c r="O12" s="50" t="s">
        <v>23</v>
      </c>
      <c r="P12" s="50" t="s">
        <v>24</v>
      </c>
      <c r="Q12" s="51" t="s">
        <v>25</v>
      </c>
      <c r="R12" s="18"/>
      <c r="S12" s="18"/>
      <c r="T12" s="17"/>
      <c r="U12" s="52"/>
      <c r="V12" s="13"/>
      <c r="W12" s="13"/>
      <c r="X12" s="53"/>
      <c r="Y12" s="11"/>
      <c r="Z12" s="24"/>
    </row>
    <row r="13" spans="1:26" s="54" customFormat="1" ht="19.5" customHeight="1">
      <c r="A13" s="55" t="s">
        <v>26</v>
      </c>
      <c r="B13" s="278">
        <v>6700000</v>
      </c>
      <c r="C13" s="278">
        <v>6700000</v>
      </c>
      <c r="D13" s="278">
        <v>6700000</v>
      </c>
      <c r="E13" s="278">
        <v>6700000</v>
      </c>
      <c r="F13" s="278">
        <v>6700000</v>
      </c>
      <c r="G13" s="278">
        <v>5792000</v>
      </c>
      <c r="H13" s="278">
        <v>6050000</v>
      </c>
      <c r="I13" s="278">
        <v>6050000</v>
      </c>
      <c r="J13" s="278">
        <v>6285000</v>
      </c>
      <c r="K13" s="278">
        <v>6285000</v>
      </c>
      <c r="L13" s="278">
        <v>6500000</v>
      </c>
      <c r="M13" s="312">
        <v>6600000</v>
      </c>
      <c r="N13" s="56" t="s">
        <v>27</v>
      </c>
      <c r="O13" s="56" t="s">
        <v>28</v>
      </c>
      <c r="P13" s="56">
        <v>14500</v>
      </c>
      <c r="Q13" s="57" t="s">
        <v>29</v>
      </c>
      <c r="R13" s="58"/>
      <c r="S13" s="58"/>
      <c r="T13" s="44"/>
      <c r="U13" s="59"/>
      <c r="V13" s="60"/>
      <c r="W13" s="61"/>
      <c r="X13" s="62"/>
      <c r="Y13" s="63"/>
    </row>
    <row r="14" spans="1:26" s="54" customFormat="1" ht="18" customHeight="1">
      <c r="A14" s="64" t="s">
        <v>30</v>
      </c>
      <c r="B14" s="313">
        <f>B13-B11</f>
        <v>4273800</v>
      </c>
      <c r="C14" s="313">
        <f>C13-C11</f>
        <v>4773800</v>
      </c>
      <c r="D14" s="313">
        <f>D13-D11</f>
        <v>4780000</v>
      </c>
      <c r="E14" s="313">
        <f t="shared" ref="E14:L14" si="0">E13-E11</f>
        <v>4780000</v>
      </c>
      <c r="F14" s="313">
        <f>F13-F11</f>
        <v>4780000</v>
      </c>
      <c r="G14" s="313">
        <f t="shared" si="0"/>
        <v>2945061</v>
      </c>
      <c r="H14" s="313">
        <f>H13-H11</f>
        <v>3009448</v>
      </c>
      <c r="I14" s="313">
        <f>I13-I11</f>
        <v>3009448</v>
      </c>
      <c r="J14" s="313">
        <f t="shared" si="0"/>
        <v>3925728</v>
      </c>
      <c r="K14" s="313">
        <f>K13-K11</f>
        <v>3925728</v>
      </c>
      <c r="L14" s="313">
        <f t="shared" si="0"/>
        <v>4150728</v>
      </c>
      <c r="M14" s="314">
        <f>M13-M11</f>
        <v>4272648</v>
      </c>
      <c r="N14" s="56" t="s">
        <v>27</v>
      </c>
      <c r="O14" s="56" t="s">
        <v>31</v>
      </c>
      <c r="P14" s="56">
        <v>62000</v>
      </c>
      <c r="Q14" s="57" t="s">
        <v>32</v>
      </c>
      <c r="R14" s="58"/>
      <c r="S14" s="58"/>
      <c r="T14" s="44"/>
      <c r="U14" s="59"/>
      <c r="V14" s="65"/>
      <c r="W14" s="61"/>
      <c r="X14" s="62"/>
      <c r="Y14" s="65"/>
    </row>
    <row r="15" spans="1:26" ht="18" customHeight="1">
      <c r="A15" s="91"/>
      <c r="B15" s="91"/>
      <c r="C15" s="90"/>
      <c r="D15" s="241"/>
      <c r="E15" s="91"/>
      <c r="F15" s="91"/>
      <c r="G15" s="91"/>
      <c r="H15" s="242"/>
      <c r="I15" s="238"/>
      <c r="J15" s="66"/>
      <c r="K15" s="66"/>
      <c r="L15" s="66"/>
      <c r="M15" s="66"/>
      <c r="N15" s="11"/>
      <c r="O15" s="11"/>
      <c r="P15" s="11"/>
      <c r="Q15" s="11"/>
      <c r="R15" s="11"/>
      <c r="S15" s="11"/>
      <c r="T15" s="11"/>
      <c r="U15" s="67"/>
      <c r="V15" s="13"/>
      <c r="W15" s="61"/>
      <c r="X15" s="62"/>
      <c r="Y15" s="68"/>
      <c r="Z15" s="69"/>
    </row>
    <row r="16" spans="1:26" ht="22.5" customHeight="1">
      <c r="A16" s="351" t="s">
        <v>212</v>
      </c>
      <c r="B16" s="228">
        <v>59200</v>
      </c>
      <c r="C16" s="228">
        <v>59200</v>
      </c>
      <c r="D16" s="228">
        <v>59200</v>
      </c>
      <c r="E16" s="228">
        <v>59200</v>
      </c>
      <c r="F16" s="228">
        <v>59200</v>
      </c>
      <c r="G16" s="91">
        <v>59200</v>
      </c>
      <c r="H16" s="352">
        <v>59200</v>
      </c>
      <c r="I16" s="239">
        <v>59200</v>
      </c>
      <c r="J16" s="11">
        <v>59200</v>
      </c>
      <c r="K16" s="11">
        <v>59200</v>
      </c>
      <c r="L16" s="11">
        <v>59200</v>
      </c>
      <c r="M16" s="11">
        <v>59200</v>
      </c>
      <c r="N16" s="11"/>
      <c r="O16" s="11"/>
      <c r="P16" s="11"/>
      <c r="Q16" s="11"/>
      <c r="R16" s="11"/>
      <c r="S16" s="11"/>
      <c r="T16" s="11"/>
      <c r="U16" s="11"/>
      <c r="V16" s="70"/>
      <c r="W16" s="71"/>
      <c r="X16" s="72"/>
      <c r="Y16" s="72"/>
      <c r="Z16" s="24"/>
    </row>
    <row r="17" spans="1:26" ht="18" customHeight="1">
      <c r="A17" s="228"/>
      <c r="B17" s="228"/>
      <c r="C17" s="228"/>
      <c r="D17" s="228"/>
      <c r="E17" s="228"/>
      <c r="F17" s="228"/>
      <c r="G17" s="91">
        <v>86200</v>
      </c>
      <c r="H17" s="352">
        <v>86200</v>
      </c>
      <c r="I17" s="239">
        <v>86200</v>
      </c>
      <c r="J17" s="13"/>
      <c r="K17" s="13"/>
      <c r="L17" s="13"/>
      <c r="M17" s="13"/>
      <c r="N17" s="13"/>
      <c r="O17" s="13"/>
      <c r="P17" s="13"/>
      <c r="Q17" s="13"/>
      <c r="R17" s="11"/>
      <c r="S17" s="11"/>
      <c r="T17" s="11"/>
      <c r="U17" s="13"/>
      <c r="V17" s="13"/>
      <c r="W17" s="13"/>
      <c r="X17" s="72"/>
      <c r="Y17" s="72"/>
      <c r="Z17" s="24"/>
    </row>
    <row r="18" spans="1:26" ht="16.5" customHeight="1">
      <c r="A18" s="73"/>
      <c r="B18" s="74"/>
      <c r="C18" s="75"/>
      <c r="D18" s="76"/>
      <c r="E18" s="91"/>
      <c r="F18" s="60"/>
      <c r="G18" s="60"/>
      <c r="H18" s="91"/>
      <c r="J18" s="60"/>
      <c r="K18" s="77"/>
      <c r="L18" s="77"/>
      <c r="M18" s="7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72"/>
      <c r="Y18" s="72"/>
      <c r="Z18" s="24"/>
    </row>
    <row r="19" spans="1:26" ht="14.25" customHeight="1">
      <c r="A19" s="78"/>
      <c r="B19" s="78"/>
      <c r="C19" s="78"/>
      <c r="D19" s="79"/>
      <c r="E19" s="90"/>
      <c r="F19" s="90"/>
      <c r="G19" s="90"/>
      <c r="H19" s="60"/>
      <c r="I19" s="240"/>
      <c r="J19" s="80"/>
      <c r="K19" s="81"/>
      <c r="L19" s="82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72"/>
      <c r="Y19" s="83"/>
      <c r="Z19" s="24"/>
    </row>
    <row r="20" spans="1:26" ht="12" customHeight="1">
      <c r="A20" s="74"/>
      <c r="B20" s="84"/>
      <c r="C20" s="78"/>
      <c r="D20" s="85"/>
      <c r="E20" s="86"/>
      <c r="F20" s="87"/>
      <c r="G20" s="80"/>
      <c r="H20" s="80"/>
      <c r="I20" s="80"/>
      <c r="J20" s="80"/>
      <c r="K20" s="80"/>
      <c r="L20" s="13"/>
      <c r="M20" s="88"/>
      <c r="N20" s="13"/>
      <c r="O20" s="13"/>
      <c r="P20" s="13"/>
      <c r="Q20" s="13"/>
      <c r="R20" s="13"/>
      <c r="S20" s="13"/>
      <c r="T20" s="13"/>
      <c r="U20" s="13"/>
      <c r="V20" s="46"/>
      <c r="W20" s="13"/>
      <c r="X20" s="89"/>
      <c r="Y20" s="72"/>
      <c r="Z20" s="24"/>
    </row>
    <row r="21" spans="1:26" ht="15.75">
      <c r="A21" s="90"/>
      <c r="B21" s="72"/>
      <c r="C21" s="78"/>
      <c r="D21" s="85"/>
      <c r="E21" s="80"/>
      <c r="F21" s="87"/>
      <c r="G21" s="80"/>
      <c r="H21" s="80"/>
      <c r="I21" s="80"/>
      <c r="J21" s="80"/>
      <c r="K21" s="80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60"/>
      <c r="W21" s="13"/>
      <c r="X21" s="11"/>
      <c r="Y21" s="72"/>
      <c r="Z21" s="24"/>
    </row>
    <row r="22" spans="1:26" ht="15.75">
      <c r="A22" s="91"/>
      <c r="B22" s="13"/>
      <c r="C22" s="13"/>
      <c r="D22" s="80"/>
      <c r="E22" s="80"/>
      <c r="F22" s="87"/>
      <c r="G22" s="87"/>
      <c r="H22" s="92"/>
      <c r="I22" s="80"/>
      <c r="J22" s="80"/>
      <c r="K22" s="80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60"/>
      <c r="W22" s="60"/>
      <c r="X22" s="93"/>
      <c r="Y22" s="72"/>
      <c r="Z22" s="24"/>
    </row>
    <row r="23" spans="1:26">
      <c r="A23" s="94" t="s">
        <v>33</v>
      </c>
      <c r="B23" s="95"/>
      <c r="C23" s="95"/>
      <c r="D23" s="96">
        <v>79000</v>
      </c>
      <c r="E23" s="95">
        <v>79000</v>
      </c>
      <c r="F23" s="95">
        <v>79000</v>
      </c>
      <c r="G23" s="95">
        <v>79000</v>
      </c>
      <c r="H23" s="97">
        <v>79000</v>
      </c>
      <c r="I23" s="95">
        <v>79000</v>
      </c>
      <c r="J23" s="97">
        <v>85000</v>
      </c>
      <c r="K23" s="97">
        <v>85000</v>
      </c>
      <c r="L23" s="97">
        <v>85000</v>
      </c>
      <c r="M23" s="95">
        <v>170000</v>
      </c>
      <c r="N23" s="13"/>
      <c r="O23" s="13"/>
      <c r="P23" s="13"/>
      <c r="Q23" s="13"/>
      <c r="R23" s="13"/>
      <c r="S23" s="13"/>
      <c r="T23" s="13"/>
      <c r="U23" s="13"/>
      <c r="V23" s="60"/>
      <c r="W23" s="60"/>
      <c r="X23" s="13"/>
      <c r="Y23" s="13"/>
      <c r="Z23" s="24"/>
    </row>
    <row r="24" spans="1:26">
      <c r="A24" s="98" t="s">
        <v>34</v>
      </c>
      <c r="B24" s="99">
        <v>6700000</v>
      </c>
      <c r="C24" s="100"/>
      <c r="D24" s="95">
        <v>5584000</v>
      </c>
      <c r="E24" s="95">
        <v>5523000</v>
      </c>
      <c r="F24" s="95">
        <v>5500000</v>
      </c>
      <c r="G24" s="97">
        <v>5713000</v>
      </c>
      <c r="H24" s="97">
        <v>5970000</v>
      </c>
      <c r="I24" s="97">
        <v>5970000</v>
      </c>
      <c r="J24" s="97">
        <v>6200000</v>
      </c>
      <c r="K24" s="97">
        <v>6200000</v>
      </c>
      <c r="L24" s="97">
        <v>6413000</v>
      </c>
      <c r="M24" s="95">
        <v>6413000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60"/>
      <c r="Y24" s="13"/>
      <c r="Z24" s="24"/>
    </row>
    <row r="25" spans="1:26">
      <c r="A25" s="13"/>
      <c r="B25" s="13"/>
      <c r="C25" s="13"/>
      <c r="D25" s="101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</row>
    <row r="26" spans="1:26">
      <c r="A26" s="13"/>
      <c r="B26" s="13"/>
      <c r="C26" s="13"/>
      <c r="D26" s="13"/>
      <c r="E26" s="13"/>
      <c r="F26" s="10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77"/>
      <c r="X27" s="13"/>
      <c r="Y27" s="13"/>
      <c r="Z27" s="24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24"/>
      <c r="W28" s="93"/>
      <c r="X28" s="24"/>
      <c r="Y28" s="24"/>
      <c r="Z28" s="24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4"/>
      <c r="W29" s="24"/>
      <c r="X29" s="24"/>
      <c r="Y29" s="24"/>
      <c r="Z29" s="24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4"/>
      <c r="W30" s="102"/>
      <c r="X30" s="24"/>
      <c r="Y30" s="24"/>
      <c r="Z30" s="24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8"/>
  <sheetViews>
    <sheetView workbookViewId="0">
      <selection activeCell="G18" sqref="G18"/>
    </sheetView>
  </sheetViews>
  <sheetFormatPr baseColWidth="10" defaultColWidth="11.42578125" defaultRowHeight="15"/>
  <cols>
    <col min="1" max="1" width="18.7109375" customWidth="1"/>
    <col min="2" max="2" width="11.28515625" customWidth="1"/>
    <col min="3" max="3" width="10.7109375" customWidth="1"/>
    <col min="4" max="4" width="11.140625" customWidth="1"/>
    <col min="5" max="5" width="11" customWidth="1"/>
    <col min="6" max="6" width="12" customWidth="1"/>
    <col min="7" max="7" width="10.7109375" customWidth="1"/>
    <col min="8" max="8" width="12.42578125" customWidth="1"/>
    <col min="9" max="9" width="14.5703125" customWidth="1"/>
    <col min="10" max="10" width="13.42578125" customWidth="1"/>
    <col min="11" max="11" width="13.28515625" customWidth="1"/>
    <col min="12" max="12" width="13" customWidth="1"/>
    <col min="13" max="13" width="11.85546875" customWidth="1"/>
    <col min="14" max="14" width="8.42578125" customWidth="1"/>
    <col min="16" max="16" width="20.85546875" customWidth="1"/>
    <col min="19" max="19" width="12" bestFit="1" customWidth="1"/>
  </cols>
  <sheetData>
    <row r="1" spans="1:28">
      <c r="A1" s="11"/>
      <c r="B1" s="103">
        <v>46388</v>
      </c>
      <c r="C1" s="103">
        <v>46419</v>
      </c>
      <c r="D1" s="103">
        <v>46082</v>
      </c>
      <c r="E1" s="103">
        <v>46113</v>
      </c>
      <c r="F1" s="103">
        <v>46143</v>
      </c>
      <c r="G1" s="103">
        <v>46174</v>
      </c>
      <c r="H1" s="103">
        <v>46204</v>
      </c>
      <c r="I1" s="103">
        <v>46235</v>
      </c>
      <c r="J1" s="103">
        <v>46266</v>
      </c>
      <c r="K1" s="103">
        <v>46296</v>
      </c>
      <c r="L1" s="103">
        <v>46327</v>
      </c>
      <c r="M1" s="104">
        <v>46357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24"/>
    </row>
    <row r="2" spans="1:28">
      <c r="A2" s="105" t="s">
        <v>35</v>
      </c>
      <c r="B2" s="252">
        <v>71700</v>
      </c>
      <c r="C2" s="268">
        <v>71700</v>
      </c>
      <c r="D2" s="268">
        <v>71700</v>
      </c>
      <c r="E2" s="268">
        <v>73700</v>
      </c>
      <c r="F2" s="226">
        <v>75700</v>
      </c>
      <c r="G2" s="339">
        <v>92000</v>
      </c>
      <c r="H2" s="226">
        <v>67000</v>
      </c>
      <c r="I2" s="248">
        <v>67000</v>
      </c>
      <c r="J2" s="248">
        <v>67000</v>
      </c>
      <c r="K2" s="248">
        <v>67000</v>
      </c>
      <c r="L2" s="248">
        <v>67000</v>
      </c>
      <c r="M2" s="254">
        <v>67000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24"/>
    </row>
    <row r="3" spans="1:28">
      <c r="A3" s="105" t="s">
        <v>36</v>
      </c>
      <c r="B3" s="252"/>
      <c r="C3" s="268"/>
      <c r="D3" s="268"/>
      <c r="E3" s="268"/>
      <c r="F3" s="269"/>
      <c r="G3" s="340">
        <v>39000</v>
      </c>
      <c r="H3" s="269">
        <v>36000</v>
      </c>
      <c r="I3" s="269">
        <v>36000</v>
      </c>
      <c r="J3" s="269">
        <v>36000</v>
      </c>
      <c r="K3" s="269">
        <v>36000</v>
      </c>
      <c r="L3" s="269">
        <v>36000</v>
      </c>
      <c r="M3" s="273">
        <v>36000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24"/>
    </row>
    <row r="4" spans="1:28">
      <c r="A4" s="105" t="s">
        <v>37</v>
      </c>
      <c r="B4" s="252">
        <v>80000</v>
      </c>
      <c r="C4" s="252">
        <v>80000</v>
      </c>
      <c r="D4" s="252">
        <v>80000</v>
      </c>
      <c r="E4" s="252">
        <v>80000</v>
      </c>
      <c r="F4" s="226">
        <v>80000</v>
      </c>
      <c r="G4" s="341">
        <v>91000</v>
      </c>
      <c r="H4" s="226">
        <v>47000</v>
      </c>
      <c r="I4" s="248">
        <v>47000</v>
      </c>
      <c r="J4" s="248">
        <v>47000</v>
      </c>
      <c r="K4" s="248">
        <v>47000</v>
      </c>
      <c r="L4" s="248">
        <v>47000</v>
      </c>
      <c r="M4" s="254">
        <v>47000</v>
      </c>
      <c r="N4" s="11"/>
      <c r="O4" s="13"/>
      <c r="P4" s="13"/>
      <c r="Q4" s="13"/>
      <c r="R4" s="13"/>
      <c r="S4" s="13"/>
      <c r="T4" s="106"/>
      <c r="U4" s="13"/>
      <c r="V4" s="13"/>
      <c r="W4" s="13"/>
      <c r="X4" s="13"/>
      <c r="Y4" s="13"/>
      <c r="Z4" s="13"/>
      <c r="AA4" s="13"/>
      <c r="AB4" s="24"/>
    </row>
    <row r="5" spans="1:28">
      <c r="A5" s="107" t="s">
        <v>38</v>
      </c>
      <c r="B5" s="252">
        <v>20000</v>
      </c>
      <c r="C5" s="252">
        <v>20000</v>
      </c>
      <c r="D5" s="268">
        <v>20000</v>
      </c>
      <c r="E5" s="252">
        <v>20000</v>
      </c>
      <c r="F5" s="226">
        <v>20000</v>
      </c>
      <c r="G5" s="341">
        <v>18000</v>
      </c>
      <c r="H5" s="226">
        <v>20000</v>
      </c>
      <c r="I5" s="248">
        <v>20000</v>
      </c>
      <c r="J5" s="248">
        <v>20000</v>
      </c>
      <c r="K5" s="248">
        <v>20000</v>
      </c>
      <c r="L5" s="248">
        <v>20000</v>
      </c>
      <c r="M5" s="254">
        <v>20000</v>
      </c>
      <c r="N5" s="11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24"/>
    </row>
    <row r="6" spans="1:28">
      <c r="A6" s="105" t="s">
        <v>39</v>
      </c>
      <c r="B6" s="252">
        <v>39800</v>
      </c>
      <c r="C6" s="252">
        <v>39800</v>
      </c>
      <c r="D6" s="268">
        <v>39800</v>
      </c>
      <c r="E6" s="252">
        <v>36911</v>
      </c>
      <c r="F6" s="226">
        <v>36900</v>
      </c>
      <c r="G6" s="341">
        <v>63000</v>
      </c>
      <c r="H6" s="226">
        <v>40700</v>
      </c>
      <c r="I6" s="248">
        <v>40700</v>
      </c>
      <c r="J6" s="248">
        <v>40700</v>
      </c>
      <c r="K6" s="248">
        <v>40700</v>
      </c>
      <c r="L6" s="248">
        <v>40700</v>
      </c>
      <c r="M6" s="254">
        <v>40700</v>
      </c>
      <c r="N6" s="11"/>
      <c r="O6" s="11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24"/>
    </row>
    <row r="7" spans="1:28">
      <c r="A7" s="105" t="s">
        <v>40</v>
      </c>
      <c r="B7" s="252">
        <v>40000</v>
      </c>
      <c r="C7" s="252">
        <v>40000</v>
      </c>
      <c r="D7" s="268">
        <v>40000</v>
      </c>
      <c r="E7" s="252">
        <v>40000</v>
      </c>
      <c r="F7" s="226">
        <v>40700</v>
      </c>
      <c r="G7" s="339">
        <v>30700</v>
      </c>
      <c r="H7" s="226">
        <v>40000</v>
      </c>
      <c r="I7" s="248">
        <v>40000</v>
      </c>
      <c r="J7" s="248">
        <v>40000</v>
      </c>
      <c r="K7" s="248">
        <v>40000</v>
      </c>
      <c r="L7" s="248">
        <v>40000</v>
      </c>
      <c r="M7" s="254">
        <v>40000</v>
      </c>
      <c r="N7" s="13"/>
      <c r="O7" s="11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24"/>
    </row>
    <row r="8" spans="1:28">
      <c r="A8" s="105" t="s">
        <v>41</v>
      </c>
      <c r="B8" s="252">
        <v>195000</v>
      </c>
      <c r="C8" s="252">
        <v>195000</v>
      </c>
      <c r="D8" s="268">
        <v>195000</v>
      </c>
      <c r="E8" s="252">
        <v>195000</v>
      </c>
      <c r="F8" s="226">
        <v>195000</v>
      </c>
      <c r="G8" s="341">
        <v>195000</v>
      </c>
      <c r="H8" s="226">
        <v>195000</v>
      </c>
      <c r="I8" s="248">
        <v>195000</v>
      </c>
      <c r="J8" s="248">
        <v>195000</v>
      </c>
      <c r="K8" s="248">
        <v>195000</v>
      </c>
      <c r="L8" s="248">
        <v>195000</v>
      </c>
      <c r="M8" s="254">
        <v>195000</v>
      </c>
      <c r="N8" s="13"/>
      <c r="O8" s="13"/>
      <c r="P8" s="13"/>
      <c r="Q8" s="13"/>
      <c r="R8" s="13"/>
      <c r="S8" s="13"/>
      <c r="T8" s="106"/>
      <c r="U8" s="13"/>
      <c r="V8" s="106"/>
      <c r="W8" s="13"/>
      <c r="X8" s="13"/>
      <c r="Y8" s="13"/>
      <c r="Z8" s="13"/>
      <c r="AA8" s="13"/>
      <c r="AB8" s="24"/>
    </row>
    <row r="9" spans="1:28">
      <c r="A9" s="108" t="s">
        <v>42</v>
      </c>
      <c r="B9" s="251">
        <v>53400</v>
      </c>
      <c r="C9" s="251">
        <v>53400</v>
      </c>
      <c r="D9" s="270">
        <v>53400</v>
      </c>
      <c r="E9" s="251">
        <v>53400</v>
      </c>
      <c r="F9" s="271">
        <v>55400</v>
      </c>
      <c r="G9" s="109">
        <v>55400</v>
      </c>
      <c r="H9" s="271">
        <v>55400</v>
      </c>
      <c r="I9" s="271">
        <v>55400</v>
      </c>
      <c r="J9" s="271">
        <v>55400</v>
      </c>
      <c r="K9" s="271">
        <v>55400</v>
      </c>
      <c r="L9" s="271">
        <v>55400</v>
      </c>
      <c r="M9" s="275">
        <v>55400</v>
      </c>
      <c r="N9" s="13"/>
      <c r="O9" s="109"/>
      <c r="P9" s="13"/>
      <c r="Q9" s="13"/>
      <c r="R9" s="13"/>
      <c r="S9" s="13"/>
      <c r="T9" s="106"/>
      <c r="U9" s="13"/>
      <c r="V9" s="106"/>
      <c r="W9" s="13"/>
      <c r="X9" s="13"/>
      <c r="Y9" s="13"/>
      <c r="Z9" s="13"/>
      <c r="AA9" s="13"/>
      <c r="AB9" s="24"/>
    </row>
    <row r="10" spans="1:28">
      <c r="A10" s="107" t="s">
        <v>43</v>
      </c>
      <c r="B10" s="252">
        <v>215644</v>
      </c>
      <c r="C10" s="252">
        <v>215644</v>
      </c>
      <c r="D10" s="268">
        <v>215644</v>
      </c>
      <c r="E10" s="252">
        <v>229445</v>
      </c>
      <c r="F10" s="226">
        <v>229445</v>
      </c>
      <c r="G10" s="341">
        <v>244445</v>
      </c>
      <c r="H10" s="226">
        <v>244445</v>
      </c>
      <c r="I10" s="226">
        <v>244445</v>
      </c>
      <c r="J10" s="226">
        <v>244445</v>
      </c>
      <c r="K10" s="226">
        <v>244445</v>
      </c>
      <c r="L10" s="226">
        <v>244445</v>
      </c>
      <c r="M10" s="274">
        <v>244445</v>
      </c>
      <c r="N10" s="13"/>
      <c r="O10" s="72"/>
      <c r="P10" s="13"/>
      <c r="Q10" s="13"/>
      <c r="R10" s="13"/>
      <c r="S10" s="13"/>
      <c r="T10" s="106"/>
      <c r="U10" s="13"/>
      <c r="V10" s="106"/>
      <c r="W10" s="13"/>
      <c r="X10" s="13"/>
      <c r="Y10" s="13"/>
      <c r="Z10" s="13"/>
      <c r="AA10" s="13"/>
      <c r="AB10" s="24"/>
    </row>
    <row r="11" spans="1:28">
      <c r="A11" s="107" t="s">
        <v>44</v>
      </c>
      <c r="B11" s="252">
        <v>64000</v>
      </c>
      <c r="C11" s="252">
        <v>64000</v>
      </c>
      <c r="D11" s="268">
        <v>64000</v>
      </c>
      <c r="E11" s="252">
        <v>60900</v>
      </c>
      <c r="F11" s="226">
        <v>56399</v>
      </c>
      <c r="G11" s="341">
        <v>55500</v>
      </c>
      <c r="H11" s="226">
        <v>60900</v>
      </c>
      <c r="I11" s="248">
        <v>60900</v>
      </c>
      <c r="J11" s="248">
        <v>60900</v>
      </c>
      <c r="K11" s="248">
        <v>60900</v>
      </c>
      <c r="L11" s="248">
        <v>60900</v>
      </c>
      <c r="M11" s="254">
        <v>60900</v>
      </c>
      <c r="N11" s="13"/>
      <c r="O11" s="11"/>
      <c r="P11" s="13"/>
      <c r="Q11" s="13"/>
      <c r="R11" s="13"/>
      <c r="S11" s="13"/>
      <c r="T11" s="106"/>
      <c r="U11" s="13"/>
      <c r="V11" s="13"/>
      <c r="W11" s="13"/>
      <c r="X11" s="13"/>
      <c r="Y11" s="13"/>
      <c r="Z11" s="13"/>
      <c r="AA11" s="13"/>
      <c r="AB11" s="24"/>
    </row>
    <row r="12" spans="1:28">
      <c r="A12" s="108" t="s">
        <v>45</v>
      </c>
      <c r="B12" s="251">
        <v>95000</v>
      </c>
      <c r="C12" s="251">
        <v>95000</v>
      </c>
      <c r="D12" s="270">
        <v>95000</v>
      </c>
      <c r="E12" s="251">
        <v>95000</v>
      </c>
      <c r="F12" s="271">
        <v>95000</v>
      </c>
      <c r="G12" s="109">
        <v>95000</v>
      </c>
      <c r="H12" s="271">
        <v>95000</v>
      </c>
      <c r="I12" s="271">
        <v>95000</v>
      </c>
      <c r="J12" s="271">
        <v>95000</v>
      </c>
      <c r="K12" s="271">
        <v>95000</v>
      </c>
      <c r="L12" s="271">
        <v>95000</v>
      </c>
      <c r="M12" s="275">
        <v>95000</v>
      </c>
      <c r="N12" s="13"/>
      <c r="O12" s="109"/>
      <c r="P12" s="13"/>
      <c r="Q12" s="13"/>
      <c r="R12" s="13"/>
      <c r="S12" s="13"/>
      <c r="T12" s="106"/>
      <c r="U12" s="13"/>
      <c r="V12" s="13"/>
      <c r="W12" s="13"/>
      <c r="X12" s="13"/>
      <c r="Y12" s="13"/>
      <c r="Z12" s="13"/>
      <c r="AA12" s="13"/>
      <c r="AB12" s="24"/>
    </row>
    <row r="13" spans="1:28">
      <c r="A13" s="108" t="s">
        <v>46</v>
      </c>
      <c r="B13" s="251">
        <v>103000</v>
      </c>
      <c r="C13" s="251">
        <v>103000</v>
      </c>
      <c r="D13" s="270">
        <v>103000</v>
      </c>
      <c r="E13" s="251">
        <v>103000</v>
      </c>
      <c r="F13" s="271">
        <v>103000</v>
      </c>
      <c r="G13" s="109">
        <v>103000</v>
      </c>
      <c r="H13" s="271">
        <v>103000</v>
      </c>
      <c r="I13" s="271">
        <v>103000</v>
      </c>
      <c r="J13" s="271">
        <v>103000</v>
      </c>
      <c r="K13" s="271">
        <v>103000</v>
      </c>
      <c r="L13" s="271">
        <v>103000</v>
      </c>
      <c r="M13" s="275">
        <v>103000</v>
      </c>
      <c r="N13" s="13"/>
      <c r="O13" s="109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24"/>
    </row>
    <row r="14" spans="1:28">
      <c r="A14" s="107" t="s">
        <v>47</v>
      </c>
      <c r="B14" s="252"/>
      <c r="C14" s="252"/>
      <c r="D14" s="268"/>
      <c r="E14" s="252"/>
      <c r="F14" s="226"/>
      <c r="G14" s="341">
        <v>30000</v>
      </c>
      <c r="H14" s="226"/>
      <c r="I14" s="248"/>
      <c r="J14" s="248"/>
      <c r="K14" s="248"/>
      <c r="L14" s="248"/>
      <c r="M14" s="254"/>
      <c r="N14" s="13"/>
      <c r="O14" s="109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24"/>
    </row>
    <row r="15" spans="1:28">
      <c r="A15" s="107" t="s">
        <v>48</v>
      </c>
      <c r="B15" s="252"/>
      <c r="C15" s="252"/>
      <c r="D15" s="268"/>
      <c r="E15" s="252"/>
      <c r="F15" s="269"/>
      <c r="G15" s="342">
        <v>72200</v>
      </c>
      <c r="H15" s="269">
        <v>72200</v>
      </c>
      <c r="I15" s="269">
        <v>72200</v>
      </c>
      <c r="J15" s="269">
        <v>72200</v>
      </c>
      <c r="K15" s="269">
        <v>72200</v>
      </c>
      <c r="L15" s="269">
        <v>72200</v>
      </c>
      <c r="M15" s="273">
        <v>72200</v>
      </c>
      <c r="N15" s="13"/>
      <c r="O15" s="109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24"/>
    </row>
    <row r="16" spans="1:28">
      <c r="A16" s="110" t="s">
        <v>49</v>
      </c>
      <c r="B16" s="272">
        <v>142000</v>
      </c>
      <c r="C16" s="272">
        <v>142000</v>
      </c>
      <c r="D16" s="268">
        <v>142000</v>
      </c>
      <c r="E16" s="268">
        <v>122000</v>
      </c>
      <c r="F16" s="226">
        <v>128000</v>
      </c>
      <c r="G16" s="341">
        <v>127000</v>
      </c>
      <c r="H16" s="226">
        <v>132000</v>
      </c>
      <c r="I16" s="248">
        <v>132000</v>
      </c>
      <c r="J16" s="248">
        <v>132000</v>
      </c>
      <c r="K16" s="248">
        <v>132000</v>
      </c>
      <c r="L16" s="248">
        <v>132000</v>
      </c>
      <c r="M16" s="254">
        <v>132000</v>
      </c>
      <c r="N16" s="13"/>
      <c r="O16" s="11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24"/>
    </row>
    <row r="17" spans="1:28" ht="21">
      <c r="A17" s="111" t="s">
        <v>50</v>
      </c>
      <c r="B17" s="111">
        <f>SUM(B2:B16)</f>
        <v>1119544</v>
      </c>
      <c r="C17" s="111">
        <f>SUM(C2:C16)</f>
        <v>1119544</v>
      </c>
      <c r="D17" s="111">
        <f>SUM(D2:D16)</f>
        <v>1119544</v>
      </c>
      <c r="E17" s="111">
        <f>SUM(E2:E16)</f>
        <v>1109356</v>
      </c>
      <c r="F17" s="111">
        <f>SUM(F2:F16)</f>
        <v>1115544</v>
      </c>
      <c r="G17" s="111">
        <f>SUM(G2:G16)</f>
        <v>1311245</v>
      </c>
      <c r="H17" s="112">
        <f>SUM(H2:H16)</f>
        <v>1208645</v>
      </c>
      <c r="I17" s="112">
        <f>SUM(I2:I16)</f>
        <v>1208645</v>
      </c>
      <c r="J17" s="112">
        <f>SUM(J2:J16)</f>
        <v>1208645</v>
      </c>
      <c r="K17" s="112">
        <f>SUM(K2:K16)</f>
        <v>1208645</v>
      </c>
      <c r="L17" s="112">
        <f>SUM(L2:L16)</f>
        <v>1208645</v>
      </c>
      <c r="M17" s="113">
        <f>SUM(M2:M16)</f>
        <v>1208645</v>
      </c>
      <c r="N17" s="13"/>
      <c r="O17" s="11"/>
      <c r="P17" s="13"/>
      <c r="Q17" s="114"/>
      <c r="R17" s="13"/>
      <c r="S17" s="13"/>
      <c r="T17" s="106"/>
      <c r="U17" s="13"/>
      <c r="V17" s="13"/>
      <c r="W17" s="13"/>
      <c r="X17" s="13"/>
      <c r="Y17" s="13"/>
      <c r="Z17" s="13"/>
      <c r="AA17" s="13"/>
      <c r="AB17" s="24"/>
    </row>
    <row r="18" spans="1:28">
      <c r="A18" s="115" t="s">
        <v>51</v>
      </c>
      <c r="B18" s="277">
        <v>500000</v>
      </c>
      <c r="C18" s="266"/>
      <c r="D18" s="266"/>
      <c r="E18" s="266"/>
      <c r="F18" s="335"/>
      <c r="G18" s="335">
        <v>378000</v>
      </c>
      <c r="H18" s="250">
        <v>378000</v>
      </c>
      <c r="I18" s="250">
        <v>378000</v>
      </c>
      <c r="J18" s="250">
        <v>378000</v>
      </c>
      <c r="K18" s="250">
        <v>378000</v>
      </c>
      <c r="L18" s="263">
        <v>378000</v>
      </c>
      <c r="M18" s="264">
        <v>378000</v>
      </c>
      <c r="N18" s="13"/>
      <c r="O18" s="12"/>
      <c r="P18" s="13"/>
      <c r="Q18" s="13"/>
      <c r="R18" s="13"/>
      <c r="S18" s="13"/>
      <c r="T18" s="106"/>
      <c r="U18" s="13"/>
      <c r="V18" s="13"/>
      <c r="W18" s="13"/>
      <c r="X18" s="13"/>
      <c r="Y18" s="13"/>
      <c r="Z18" s="13"/>
      <c r="AA18" s="13"/>
      <c r="AB18" s="24"/>
    </row>
    <row r="19" spans="1:28" ht="15.75" customHeight="1">
      <c r="A19" s="116" t="s">
        <v>52</v>
      </c>
      <c r="B19" s="266"/>
      <c r="C19" s="266"/>
      <c r="D19" s="267"/>
      <c r="E19" s="267"/>
      <c r="F19" s="343"/>
      <c r="G19" s="117">
        <v>95700</v>
      </c>
      <c r="H19" s="251"/>
      <c r="I19" s="253"/>
      <c r="J19" s="253"/>
      <c r="K19" s="253"/>
      <c r="L19" s="248"/>
      <c r="M19" s="265"/>
      <c r="N19" s="13"/>
      <c r="O19" s="20"/>
      <c r="P19" s="13"/>
      <c r="Q19" s="13"/>
      <c r="R19" s="13"/>
      <c r="S19" s="13"/>
      <c r="T19" s="106"/>
      <c r="U19" s="13"/>
      <c r="V19" s="13"/>
      <c r="W19" s="13"/>
      <c r="X19" s="13"/>
      <c r="Y19" s="13"/>
      <c r="Z19" s="106"/>
      <c r="AA19" s="13"/>
      <c r="AB19" s="24"/>
    </row>
    <row r="20" spans="1:28" ht="13.5" customHeight="1">
      <c r="A20" s="118" t="s">
        <v>53</v>
      </c>
      <c r="B20" s="266"/>
      <c r="C20" s="266"/>
      <c r="D20" s="267"/>
      <c r="E20" s="267"/>
      <c r="F20" s="335"/>
      <c r="G20" s="344">
        <v>64899</v>
      </c>
      <c r="H20" s="252">
        <v>64899</v>
      </c>
      <c r="I20" s="253">
        <v>64899</v>
      </c>
      <c r="J20" s="253">
        <v>64899</v>
      </c>
      <c r="K20" s="253">
        <v>64899</v>
      </c>
      <c r="L20" s="248">
        <v>64899</v>
      </c>
      <c r="M20" s="254">
        <v>64899</v>
      </c>
      <c r="N20" s="13"/>
      <c r="O20" s="20"/>
      <c r="P20" s="13"/>
      <c r="Q20" s="13"/>
      <c r="R20" s="13"/>
      <c r="S20" s="13"/>
      <c r="T20" s="106"/>
      <c r="U20" s="13"/>
      <c r="V20" s="13"/>
      <c r="W20" s="13"/>
      <c r="X20" s="13"/>
      <c r="Y20" s="13"/>
      <c r="Z20" s="106"/>
      <c r="AA20" s="13"/>
      <c r="AB20" s="24"/>
    </row>
    <row r="21" spans="1:28" ht="12.75" customHeight="1">
      <c r="A21" s="116" t="s">
        <v>54</v>
      </c>
      <c r="B21" s="266"/>
      <c r="C21" s="266"/>
      <c r="D21" s="267"/>
      <c r="E21" s="267"/>
      <c r="F21" s="335"/>
      <c r="G21" s="345">
        <v>21000</v>
      </c>
      <c r="H21" s="251"/>
      <c r="I21" s="253"/>
      <c r="J21" s="253"/>
      <c r="K21" s="253"/>
      <c r="L21" s="248"/>
      <c r="M21" s="265"/>
      <c r="N21" s="13"/>
      <c r="O21" s="20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06"/>
      <c r="AA21" s="13"/>
      <c r="AB21" s="24"/>
    </row>
    <row r="22" spans="1:28" ht="13.5" customHeight="1">
      <c r="A22" s="121" t="s">
        <v>55</v>
      </c>
      <c r="B22" s="266"/>
      <c r="C22" s="266"/>
      <c r="D22" s="267"/>
      <c r="E22" s="267"/>
      <c r="F22" s="335"/>
      <c r="G22" s="346">
        <v>167233</v>
      </c>
      <c r="H22" s="251"/>
      <c r="I22" s="253"/>
      <c r="J22" s="252"/>
      <c r="K22" s="253"/>
      <c r="L22" s="248"/>
      <c r="M22" s="265"/>
      <c r="N22" s="13"/>
      <c r="O22" s="119"/>
      <c r="P22" s="122"/>
      <c r="Q22" s="123"/>
      <c r="R22" s="13"/>
      <c r="S22" s="13"/>
      <c r="T22" s="106"/>
      <c r="U22" s="122"/>
      <c r="V22" s="13"/>
      <c r="W22" s="13"/>
      <c r="X22" s="13"/>
      <c r="Y22" s="13"/>
      <c r="Z22" s="106"/>
      <c r="AA22" s="13"/>
      <c r="AB22" s="24"/>
    </row>
    <row r="23" spans="1:28" ht="13.5" customHeight="1">
      <c r="A23" s="116" t="s">
        <v>56</v>
      </c>
      <c r="B23" s="266"/>
      <c r="C23" s="266"/>
      <c r="D23" s="267"/>
      <c r="E23" s="267"/>
      <c r="F23" s="335"/>
      <c r="G23" s="124">
        <v>30000</v>
      </c>
      <c r="H23" s="251"/>
      <c r="I23" s="251"/>
      <c r="J23" s="251"/>
      <c r="K23" s="253"/>
      <c r="L23" s="248"/>
      <c r="M23" s="265"/>
      <c r="N23" s="13"/>
      <c r="O23" s="119"/>
      <c r="P23" s="122"/>
      <c r="Q23" s="125"/>
      <c r="R23" s="13"/>
      <c r="S23" s="13"/>
      <c r="T23" s="106"/>
      <c r="U23" s="77"/>
      <c r="V23" s="13"/>
      <c r="W23" s="13"/>
      <c r="X23" s="13"/>
      <c r="Y23" s="13"/>
      <c r="Z23" s="106"/>
      <c r="AA23" s="13"/>
      <c r="AB23" s="24"/>
    </row>
    <row r="24" spans="1:28">
      <c r="A24" s="116" t="s">
        <v>57</v>
      </c>
      <c r="B24" s="266"/>
      <c r="C24" s="266"/>
      <c r="D24" s="267"/>
      <c r="E24" s="267"/>
      <c r="F24" s="335"/>
      <c r="G24" s="344">
        <v>2546</v>
      </c>
      <c r="H24" s="252">
        <v>2546</v>
      </c>
      <c r="I24" s="252">
        <v>2546</v>
      </c>
      <c r="J24" s="252"/>
      <c r="K24" s="253"/>
      <c r="L24" s="248"/>
      <c r="M24" s="265"/>
      <c r="N24" s="13"/>
      <c r="O24" s="126"/>
      <c r="P24" s="123"/>
      <c r="Q24" s="125"/>
      <c r="R24" s="13"/>
      <c r="S24" s="13"/>
      <c r="T24" s="106"/>
      <c r="U24" s="68"/>
      <c r="V24" s="13"/>
      <c r="W24" s="13"/>
      <c r="X24" s="13"/>
      <c r="Y24" s="13"/>
      <c r="Z24" s="13"/>
      <c r="AA24" s="13"/>
      <c r="AB24" s="24"/>
    </row>
    <row r="25" spans="1:28" s="24" customFormat="1">
      <c r="A25" s="225" t="s">
        <v>202</v>
      </c>
      <c r="B25" s="266"/>
      <c r="C25" s="266"/>
      <c r="D25" s="267"/>
      <c r="E25" s="267"/>
      <c r="F25" s="335"/>
      <c r="G25" s="344">
        <v>42000</v>
      </c>
      <c r="H25" s="252"/>
      <c r="I25" s="252"/>
      <c r="J25" s="252"/>
      <c r="K25" s="253"/>
      <c r="L25" s="248"/>
      <c r="M25" s="265"/>
      <c r="N25" s="91"/>
      <c r="O25" s="126"/>
      <c r="P25" s="123"/>
      <c r="Q25" s="125"/>
      <c r="R25" s="91"/>
      <c r="S25" s="91"/>
      <c r="T25" s="106"/>
      <c r="U25" s="68"/>
      <c r="V25" s="91"/>
      <c r="W25" s="91"/>
      <c r="X25" s="91"/>
      <c r="Y25" s="91"/>
      <c r="Z25" s="91"/>
      <c r="AA25" s="91"/>
    </row>
    <row r="26" spans="1:28" ht="13.5" customHeight="1">
      <c r="A26" s="225" t="s">
        <v>201</v>
      </c>
      <c r="B26" s="266"/>
      <c r="C26" s="266"/>
      <c r="D26" s="267"/>
      <c r="E26" s="267"/>
      <c r="F26" s="335"/>
      <c r="G26" s="249">
        <v>20000</v>
      </c>
      <c r="H26" s="235">
        <v>20000</v>
      </c>
      <c r="I26" s="235">
        <v>20000</v>
      </c>
      <c r="J26" s="253"/>
      <c r="K26" s="253"/>
      <c r="L26" s="248"/>
      <c r="M26" s="254"/>
      <c r="N26" s="13"/>
      <c r="O26" s="126"/>
      <c r="P26" s="123"/>
      <c r="Q26" s="123"/>
      <c r="R26" s="13"/>
      <c r="S26" s="77"/>
      <c r="T26" s="106"/>
      <c r="U26" s="13"/>
      <c r="V26" s="13"/>
      <c r="W26" s="13"/>
      <c r="X26" s="13"/>
      <c r="Y26" s="13"/>
      <c r="Z26" s="13"/>
      <c r="AA26" s="13"/>
      <c r="AB26" s="24"/>
    </row>
    <row r="27" spans="1:28" s="24" customFormat="1" ht="13.5" customHeight="1">
      <c r="A27" s="225" t="s">
        <v>203</v>
      </c>
      <c r="B27" s="266"/>
      <c r="C27" s="266"/>
      <c r="D27" s="267"/>
      <c r="E27" s="267"/>
      <c r="F27" s="335"/>
      <c r="G27" s="347">
        <v>17333</v>
      </c>
      <c r="H27" s="315">
        <v>17333</v>
      </c>
      <c r="I27" s="315">
        <v>17333</v>
      </c>
      <c r="J27" s="315">
        <v>17333</v>
      </c>
      <c r="K27" s="315">
        <v>17333</v>
      </c>
      <c r="L27" s="316">
        <v>17333</v>
      </c>
      <c r="M27" s="254"/>
      <c r="N27" s="91"/>
      <c r="O27" s="126"/>
      <c r="P27" s="123"/>
      <c r="Q27" s="123"/>
      <c r="R27" s="91"/>
      <c r="S27" s="77"/>
      <c r="T27" s="106"/>
      <c r="U27" s="91"/>
      <c r="V27" s="91"/>
      <c r="W27" s="91"/>
      <c r="X27" s="91"/>
      <c r="Y27" s="91"/>
      <c r="Z27" s="91"/>
      <c r="AA27" s="91"/>
    </row>
    <row r="28" spans="1:28">
      <c r="A28" s="116" t="s">
        <v>57</v>
      </c>
      <c r="B28" s="266"/>
      <c r="C28" s="266"/>
      <c r="D28" s="267"/>
      <c r="E28" s="267"/>
      <c r="F28" s="335"/>
      <c r="G28" s="127">
        <v>6000</v>
      </c>
      <c r="H28" s="255">
        <v>6000</v>
      </c>
      <c r="I28" s="256"/>
      <c r="J28" s="256"/>
      <c r="K28" s="256"/>
      <c r="L28" s="257"/>
      <c r="M28" s="258"/>
      <c r="N28" s="13"/>
      <c r="O28" s="126"/>
      <c r="P28" s="123"/>
      <c r="Q28" s="123"/>
      <c r="R28" s="13"/>
      <c r="S28" s="13"/>
      <c r="T28" s="106"/>
      <c r="U28" s="122"/>
      <c r="V28" s="13"/>
      <c r="W28" s="13"/>
      <c r="X28" s="13"/>
      <c r="Y28" s="13"/>
      <c r="Z28" s="13"/>
      <c r="AA28" s="13"/>
      <c r="AB28" s="24"/>
    </row>
    <row r="29" spans="1:28">
      <c r="A29" s="116" t="s">
        <v>58</v>
      </c>
      <c r="B29" s="266"/>
      <c r="C29" s="266"/>
      <c r="D29" s="267"/>
      <c r="E29" s="267"/>
      <c r="F29" s="335"/>
      <c r="G29" s="346">
        <v>49500</v>
      </c>
      <c r="H29" s="251"/>
      <c r="I29" s="253"/>
      <c r="J29" s="252"/>
      <c r="K29" s="253"/>
      <c r="L29" s="248"/>
      <c r="M29" s="265"/>
      <c r="N29" s="13"/>
      <c r="O29" s="243"/>
      <c r="P29" s="244"/>
      <c r="Q29" s="244"/>
      <c r="R29" s="13"/>
      <c r="S29" s="123"/>
      <c r="T29" s="106"/>
      <c r="U29" s="77"/>
      <c r="V29" s="13"/>
      <c r="W29" s="13"/>
      <c r="X29" s="13"/>
      <c r="Y29" s="13"/>
      <c r="Z29" s="13"/>
      <c r="AA29" s="13"/>
      <c r="AB29" s="24"/>
    </row>
    <row r="30" spans="1:28">
      <c r="A30" s="116" t="s">
        <v>61</v>
      </c>
      <c r="B30" s="266"/>
      <c r="C30" s="266"/>
      <c r="D30" s="266"/>
      <c r="E30" s="267"/>
      <c r="F30" s="335"/>
      <c r="G30" s="127">
        <v>4000</v>
      </c>
      <c r="H30" s="128">
        <v>4000</v>
      </c>
      <c r="I30" s="253"/>
      <c r="J30" s="251"/>
      <c r="K30" s="253"/>
      <c r="L30" s="248"/>
      <c r="M30" s="265"/>
      <c r="N30" s="13"/>
      <c r="O30" s="243"/>
      <c r="P30" s="244"/>
      <c r="Q30" s="244"/>
      <c r="R30" s="13"/>
      <c r="S30" s="77"/>
      <c r="T30" s="106"/>
      <c r="U30" s="13"/>
      <c r="V30" s="13"/>
      <c r="W30" s="13"/>
      <c r="X30" s="13"/>
      <c r="Y30" s="13"/>
      <c r="Z30" s="13"/>
      <c r="AA30" s="13"/>
      <c r="AB30" s="24"/>
    </row>
    <row r="31" spans="1:28">
      <c r="A31" s="116" t="s">
        <v>63</v>
      </c>
      <c r="B31" s="266"/>
      <c r="C31" s="266"/>
      <c r="D31" s="267"/>
      <c r="E31" s="267"/>
      <c r="F31" s="335"/>
      <c r="G31" s="348">
        <v>22400</v>
      </c>
      <c r="H31" s="253">
        <v>22400</v>
      </c>
      <c r="I31" s="253"/>
      <c r="J31" s="251"/>
      <c r="K31" s="253"/>
      <c r="L31" s="248"/>
      <c r="M31" s="265"/>
      <c r="N31" s="13"/>
      <c r="O31" s="126"/>
      <c r="P31" s="123"/>
      <c r="Q31" s="123"/>
      <c r="R31" s="13"/>
      <c r="S31" s="122"/>
      <c r="T31" s="106"/>
      <c r="U31" s="13"/>
      <c r="V31" s="13"/>
      <c r="W31" s="13"/>
      <c r="X31" s="13"/>
      <c r="Y31" s="13"/>
      <c r="Z31" s="13"/>
      <c r="AA31" s="13"/>
      <c r="AB31" s="24"/>
    </row>
    <row r="32" spans="1:28">
      <c r="A32" s="116" t="s">
        <v>64</v>
      </c>
      <c r="B32" s="266"/>
      <c r="C32" s="266"/>
      <c r="D32" s="267"/>
      <c r="E32" s="267"/>
      <c r="F32" s="335"/>
      <c r="G32" s="127">
        <v>8000</v>
      </c>
      <c r="H32" s="128">
        <v>8000</v>
      </c>
      <c r="I32" s="253"/>
      <c r="J32" s="251"/>
      <c r="K32" s="253"/>
      <c r="L32" s="248"/>
      <c r="M32" s="265"/>
      <c r="N32" s="13"/>
      <c r="O32" s="126"/>
      <c r="P32" s="123"/>
      <c r="Q32" s="123"/>
      <c r="R32" s="13"/>
      <c r="S32" s="122"/>
      <c r="T32" s="106"/>
      <c r="U32" s="13"/>
      <c r="V32" s="13"/>
      <c r="W32" s="13"/>
      <c r="X32" s="13"/>
      <c r="Y32" s="13"/>
      <c r="Z32" s="13"/>
      <c r="AA32" s="13"/>
      <c r="AB32" s="24"/>
    </row>
    <row r="33" spans="1:28">
      <c r="A33" s="116" t="s">
        <v>65</v>
      </c>
      <c r="B33" s="266"/>
      <c r="C33" s="266"/>
      <c r="D33" s="267"/>
      <c r="E33" s="267"/>
      <c r="F33" s="335"/>
      <c r="G33" s="129">
        <v>40900</v>
      </c>
      <c r="H33" s="253"/>
      <c r="I33" s="253"/>
      <c r="J33" s="251"/>
      <c r="K33" s="253"/>
      <c r="L33" s="248"/>
      <c r="M33" s="265"/>
      <c r="N33" s="13"/>
      <c r="O33" s="126"/>
      <c r="P33" s="123"/>
      <c r="Q33" s="123"/>
      <c r="R33" s="13"/>
      <c r="S33" s="77"/>
      <c r="T33" s="106"/>
      <c r="U33" s="13"/>
      <c r="V33" s="13"/>
      <c r="W33" s="13"/>
      <c r="X33" s="13"/>
      <c r="Y33" s="13"/>
      <c r="Z33" s="13"/>
      <c r="AA33" s="13"/>
      <c r="AB33" s="24"/>
    </row>
    <row r="34" spans="1:28">
      <c r="A34" s="116" t="s">
        <v>66</v>
      </c>
      <c r="B34" s="266"/>
      <c r="C34" s="266"/>
      <c r="D34" s="267"/>
      <c r="E34" s="267"/>
      <c r="F34" s="335"/>
      <c r="G34" s="130">
        <v>9100</v>
      </c>
      <c r="H34" s="131">
        <v>9100</v>
      </c>
      <c r="I34" s="131">
        <v>9100</v>
      </c>
      <c r="J34" s="251"/>
      <c r="K34" s="253"/>
      <c r="L34" s="248"/>
      <c r="M34" s="265"/>
      <c r="N34" s="13"/>
      <c r="O34" s="126"/>
      <c r="P34" s="123"/>
      <c r="Q34" s="123"/>
      <c r="R34" s="13"/>
      <c r="S34" s="77"/>
      <c r="T34" s="106"/>
      <c r="U34" s="13"/>
      <c r="V34" s="13"/>
      <c r="W34" s="13"/>
      <c r="X34" s="13"/>
      <c r="Y34" s="13"/>
      <c r="Z34" s="13"/>
      <c r="AA34" s="13"/>
      <c r="AB34" s="24"/>
    </row>
    <row r="35" spans="1:28">
      <c r="A35" s="116" t="s">
        <v>67</v>
      </c>
      <c r="B35" s="266"/>
      <c r="C35" s="266"/>
      <c r="D35" s="267"/>
      <c r="E35" s="267"/>
      <c r="F35" s="335"/>
      <c r="G35" s="348">
        <v>2550</v>
      </c>
      <c r="H35" s="253">
        <v>2550</v>
      </c>
      <c r="I35" s="253">
        <v>2550</v>
      </c>
      <c r="J35" s="251"/>
      <c r="K35" s="253"/>
      <c r="L35" s="248"/>
      <c r="M35" s="265"/>
      <c r="N35" s="13"/>
      <c r="O35" s="126"/>
      <c r="P35" s="123"/>
      <c r="Q35" s="123"/>
      <c r="R35" s="13"/>
      <c r="S35" s="77"/>
      <c r="T35" s="106"/>
      <c r="U35" s="13"/>
      <c r="V35" s="13"/>
      <c r="W35" s="13"/>
      <c r="X35" s="13"/>
      <c r="Y35" s="13"/>
      <c r="Z35" s="13"/>
      <c r="AA35" s="13"/>
      <c r="AB35" s="24"/>
    </row>
    <row r="36" spans="1:28">
      <c r="A36" s="116" t="s">
        <v>68</v>
      </c>
      <c r="B36" s="266"/>
      <c r="C36" s="266"/>
      <c r="D36" s="267"/>
      <c r="E36" s="267"/>
      <c r="F36" s="335"/>
      <c r="G36" s="132">
        <v>22130</v>
      </c>
      <c r="H36" s="133">
        <v>22130</v>
      </c>
      <c r="I36" s="133">
        <v>22130</v>
      </c>
      <c r="J36" s="251"/>
      <c r="K36" s="253"/>
      <c r="L36" s="248"/>
      <c r="M36" s="265"/>
      <c r="N36" s="13"/>
      <c r="O36" s="126"/>
      <c r="P36" s="123"/>
      <c r="Q36" s="123"/>
      <c r="R36" s="13"/>
      <c r="S36" s="77"/>
      <c r="T36" s="106"/>
      <c r="U36" s="13"/>
      <c r="V36" s="13"/>
      <c r="W36" s="13"/>
      <c r="X36" s="13"/>
      <c r="Y36" s="13"/>
      <c r="Z36" s="13"/>
      <c r="AA36" s="13"/>
      <c r="AB36" s="24"/>
    </row>
    <row r="37" spans="1:28">
      <c r="A37" s="116" t="s">
        <v>74</v>
      </c>
      <c r="B37" s="266"/>
      <c r="C37" s="266"/>
      <c r="D37" s="267"/>
      <c r="E37" s="267"/>
      <c r="F37" s="335"/>
      <c r="G37" s="349">
        <v>14900</v>
      </c>
      <c r="H37" s="253"/>
      <c r="I37" s="253"/>
      <c r="J37" s="251"/>
      <c r="K37" s="253"/>
      <c r="L37" s="248"/>
      <c r="M37" s="265"/>
      <c r="N37" s="13"/>
      <c r="O37" s="126"/>
      <c r="P37" s="123"/>
      <c r="Q37" s="123"/>
      <c r="R37" s="13"/>
      <c r="S37" s="77"/>
      <c r="T37" s="106"/>
      <c r="U37" s="13"/>
      <c r="V37" s="13"/>
      <c r="W37" s="13"/>
      <c r="X37" s="13"/>
      <c r="Y37" s="13"/>
      <c r="Z37" s="13"/>
      <c r="AA37" s="13"/>
      <c r="AB37" s="24"/>
    </row>
    <row r="38" spans="1:28">
      <c r="A38" s="225" t="s">
        <v>196</v>
      </c>
      <c r="B38" s="266"/>
      <c r="C38" s="266"/>
      <c r="D38" s="267"/>
      <c r="E38" s="267"/>
      <c r="F38" s="335"/>
      <c r="G38" s="349">
        <v>52000</v>
      </c>
      <c r="H38" s="253"/>
      <c r="I38" s="253"/>
      <c r="J38" s="251"/>
      <c r="K38" s="253"/>
      <c r="L38" s="248"/>
      <c r="M38" s="265"/>
      <c r="N38" s="13"/>
      <c r="O38" s="126"/>
      <c r="P38" s="123"/>
      <c r="Q38" s="123"/>
      <c r="R38" s="13"/>
      <c r="S38" s="77"/>
      <c r="T38" s="106"/>
      <c r="U38" s="13"/>
      <c r="V38" s="13"/>
      <c r="W38" s="13"/>
      <c r="X38" s="13"/>
      <c r="Y38" s="13"/>
      <c r="Z38" s="13"/>
      <c r="AA38" s="13"/>
      <c r="AB38" s="24"/>
    </row>
    <row r="39" spans="1:28">
      <c r="A39" s="116" t="s">
        <v>69</v>
      </c>
      <c r="B39" s="266"/>
      <c r="C39" s="266"/>
      <c r="D39" s="267"/>
      <c r="E39" s="267"/>
      <c r="F39" s="335"/>
      <c r="G39" s="345">
        <v>12832</v>
      </c>
      <c r="H39" s="253"/>
      <c r="I39" s="253"/>
      <c r="J39" s="251"/>
      <c r="K39" s="253"/>
      <c r="L39" s="248"/>
      <c r="M39" s="265"/>
      <c r="N39" s="13"/>
      <c r="O39" s="126"/>
      <c r="P39" s="123"/>
      <c r="Q39" s="123"/>
      <c r="R39" s="13"/>
      <c r="S39" s="77"/>
      <c r="T39" s="106"/>
      <c r="U39" s="13"/>
      <c r="V39" s="13"/>
      <c r="W39" s="13"/>
      <c r="X39" s="13"/>
      <c r="Y39" s="13"/>
      <c r="Z39" s="13"/>
      <c r="AA39" s="13"/>
      <c r="AB39" s="24"/>
    </row>
    <row r="40" spans="1:28">
      <c r="A40" s="116" t="s">
        <v>57</v>
      </c>
      <c r="B40" s="266"/>
      <c r="C40" s="266"/>
      <c r="D40" s="267"/>
      <c r="E40" s="267"/>
      <c r="F40" s="335"/>
      <c r="G40" s="127">
        <v>5450</v>
      </c>
      <c r="H40" s="128">
        <v>5450</v>
      </c>
      <c r="I40" s="253"/>
      <c r="J40" s="251"/>
      <c r="K40" s="253"/>
      <c r="L40" s="248"/>
      <c r="M40" s="265"/>
      <c r="N40" s="13"/>
      <c r="O40" s="126"/>
      <c r="P40" s="123"/>
      <c r="Q40" s="123"/>
      <c r="R40" s="13"/>
      <c r="S40" s="77"/>
      <c r="T40" s="106"/>
      <c r="U40" s="13"/>
      <c r="V40" s="13"/>
      <c r="W40" s="13"/>
      <c r="X40" s="13"/>
      <c r="Y40" s="13"/>
      <c r="Z40" s="13"/>
      <c r="AA40" s="13"/>
      <c r="AB40" s="24"/>
    </row>
    <row r="41" spans="1:28">
      <c r="A41" s="225" t="s">
        <v>197</v>
      </c>
      <c r="B41" s="266"/>
      <c r="C41" s="266"/>
      <c r="D41" s="267"/>
      <c r="E41" s="267"/>
      <c r="F41" s="335"/>
      <c r="G41" s="335">
        <v>47900</v>
      </c>
      <c r="H41" s="253"/>
      <c r="I41" s="253"/>
      <c r="J41" s="251"/>
      <c r="K41" s="253"/>
      <c r="L41" s="248"/>
      <c r="M41" s="265"/>
      <c r="N41" s="13"/>
      <c r="O41" s="126"/>
      <c r="P41" s="123"/>
      <c r="Q41" s="123"/>
      <c r="R41" s="13"/>
      <c r="S41" s="77"/>
      <c r="T41" s="106"/>
      <c r="U41" s="13"/>
      <c r="V41" s="13"/>
      <c r="W41" s="13"/>
      <c r="X41" s="13"/>
      <c r="Y41" s="13"/>
      <c r="Z41" s="13"/>
      <c r="AA41" s="13"/>
      <c r="AB41" s="24"/>
    </row>
    <row r="42" spans="1:28">
      <c r="A42" s="116" t="s">
        <v>70</v>
      </c>
      <c r="B42" s="266"/>
      <c r="C42" s="266"/>
      <c r="D42" s="267"/>
      <c r="E42" s="267"/>
      <c r="F42" s="335"/>
      <c r="G42" s="127">
        <v>5550</v>
      </c>
      <c r="H42" s="128">
        <v>5550</v>
      </c>
      <c r="I42" s="253"/>
      <c r="J42" s="251"/>
      <c r="K42" s="253"/>
      <c r="L42" s="248"/>
      <c r="M42" s="265"/>
      <c r="N42" s="13"/>
      <c r="O42" s="126"/>
      <c r="P42" s="123"/>
      <c r="Q42" s="123"/>
      <c r="R42" s="13"/>
      <c r="S42" s="77"/>
      <c r="T42" s="106"/>
      <c r="U42" s="13"/>
      <c r="V42" s="13"/>
      <c r="W42" s="13"/>
      <c r="X42" s="13"/>
      <c r="Y42" s="13"/>
      <c r="Z42" s="13"/>
      <c r="AA42" s="13"/>
      <c r="AB42" s="24"/>
    </row>
    <row r="43" spans="1:28" s="24" customFormat="1">
      <c r="A43" s="116" t="s">
        <v>211</v>
      </c>
      <c r="B43" s="266"/>
      <c r="C43" s="266"/>
      <c r="D43" s="267"/>
      <c r="E43" s="267"/>
      <c r="F43" s="335"/>
      <c r="G43" s="336">
        <v>12000</v>
      </c>
      <c r="H43" s="337">
        <v>12000</v>
      </c>
      <c r="I43" s="338">
        <v>12000</v>
      </c>
      <c r="J43" s="251"/>
      <c r="K43" s="253"/>
      <c r="L43" s="248"/>
      <c r="M43" s="265"/>
      <c r="N43" s="91"/>
      <c r="O43" s="126"/>
      <c r="P43" s="123"/>
      <c r="Q43" s="123"/>
      <c r="R43" s="91"/>
      <c r="S43" s="77"/>
      <c r="T43" s="106"/>
      <c r="U43" s="91"/>
      <c r="V43" s="91"/>
      <c r="W43" s="91"/>
      <c r="X43" s="91"/>
      <c r="Y43" s="91"/>
      <c r="Z43" s="91"/>
      <c r="AA43" s="91"/>
    </row>
    <row r="44" spans="1:28" s="24" customFormat="1">
      <c r="A44" s="116" t="s">
        <v>211</v>
      </c>
      <c r="B44" s="266"/>
      <c r="C44" s="266"/>
      <c r="D44" s="267"/>
      <c r="E44" s="267"/>
      <c r="F44" s="335"/>
      <c r="G44" s="336">
        <v>10000</v>
      </c>
      <c r="H44" s="337">
        <v>10000</v>
      </c>
      <c r="I44" s="338">
        <v>10000</v>
      </c>
      <c r="J44" s="251"/>
      <c r="K44" s="253"/>
      <c r="L44" s="248"/>
      <c r="M44" s="265"/>
      <c r="N44" s="91"/>
      <c r="O44" s="126"/>
      <c r="P44" s="123"/>
      <c r="Q44" s="123"/>
      <c r="R44" s="91"/>
      <c r="S44" s="77"/>
      <c r="T44" s="106"/>
      <c r="U44" s="91"/>
      <c r="V44" s="91"/>
      <c r="W44" s="91"/>
      <c r="X44" s="91"/>
      <c r="Y44" s="91"/>
      <c r="Z44" s="91"/>
      <c r="AA44" s="91"/>
    </row>
    <row r="45" spans="1:28">
      <c r="A45" s="116" t="s">
        <v>57</v>
      </c>
      <c r="B45" s="266"/>
      <c r="C45" s="266"/>
      <c r="D45" s="267"/>
      <c r="E45" s="267"/>
      <c r="F45" s="335"/>
      <c r="G45" s="134">
        <v>3700</v>
      </c>
      <c r="H45" s="128">
        <v>3700</v>
      </c>
      <c r="I45" s="253"/>
      <c r="J45" s="251"/>
      <c r="K45" s="253"/>
      <c r="L45" s="248"/>
      <c r="M45" s="265"/>
      <c r="N45" s="13"/>
      <c r="O45" s="126"/>
      <c r="P45" s="123"/>
      <c r="Q45" s="123"/>
      <c r="R45" s="13"/>
      <c r="S45" s="77"/>
      <c r="T45" s="106"/>
      <c r="U45" s="13"/>
      <c r="V45" s="13"/>
      <c r="W45" s="13"/>
      <c r="X45" s="13"/>
      <c r="Y45" s="13"/>
      <c r="Z45" s="13"/>
      <c r="AA45" s="13"/>
      <c r="AB45" s="24"/>
    </row>
    <row r="46" spans="1:28">
      <c r="A46" s="116" t="s">
        <v>71</v>
      </c>
      <c r="B46" s="266"/>
      <c r="C46" s="266"/>
      <c r="D46" s="267"/>
      <c r="E46" s="267"/>
      <c r="F46" s="335"/>
      <c r="G46" s="127">
        <v>17533</v>
      </c>
      <c r="H46" s="128">
        <v>17533</v>
      </c>
      <c r="I46" s="253"/>
      <c r="J46" s="251"/>
      <c r="K46" s="253"/>
      <c r="L46" s="248"/>
      <c r="M46" s="265"/>
      <c r="N46" s="13"/>
      <c r="O46" s="126"/>
      <c r="P46" s="123"/>
      <c r="Q46" s="123"/>
      <c r="R46" s="13"/>
      <c r="S46" s="77"/>
      <c r="T46" s="106"/>
      <c r="U46" s="13"/>
      <c r="V46" s="13"/>
      <c r="W46" s="13"/>
      <c r="X46" s="13"/>
      <c r="Y46" s="13"/>
      <c r="Z46" s="13"/>
      <c r="AA46" s="13"/>
      <c r="AB46" s="24"/>
    </row>
    <row r="47" spans="1:28">
      <c r="A47" s="116" t="s">
        <v>72</v>
      </c>
      <c r="B47" s="266"/>
      <c r="C47" s="266"/>
      <c r="D47" s="267"/>
      <c r="E47" s="267"/>
      <c r="F47" s="335"/>
      <c r="G47" s="127">
        <v>23997</v>
      </c>
      <c r="H47" s="128">
        <v>23997</v>
      </c>
      <c r="I47" s="253"/>
      <c r="J47" s="251"/>
      <c r="K47" s="253"/>
      <c r="L47" s="248"/>
      <c r="M47" s="265"/>
      <c r="N47" s="13"/>
      <c r="O47" s="126"/>
      <c r="P47" s="123"/>
      <c r="Q47" s="123"/>
      <c r="R47" s="13"/>
      <c r="S47" s="77"/>
      <c r="T47" s="106"/>
      <c r="U47" s="13"/>
      <c r="V47" s="13"/>
      <c r="W47" s="13"/>
      <c r="X47" s="13"/>
      <c r="Y47" s="13"/>
      <c r="Z47" s="13"/>
      <c r="AA47" s="13"/>
      <c r="AB47" s="24"/>
    </row>
    <row r="48" spans="1:28">
      <c r="A48" s="116" t="s">
        <v>73</v>
      </c>
      <c r="B48" s="266"/>
      <c r="C48" s="266"/>
      <c r="D48" s="267"/>
      <c r="E48" s="267"/>
      <c r="F48" s="335"/>
      <c r="G48" s="135">
        <v>26000</v>
      </c>
      <c r="H48" s="136">
        <v>26000</v>
      </c>
      <c r="I48" s="236">
        <v>13000</v>
      </c>
      <c r="J48" s="253"/>
      <c r="K48" s="253"/>
      <c r="L48" s="248"/>
      <c r="M48" s="265"/>
      <c r="N48" s="13"/>
      <c r="O48" s="126"/>
      <c r="P48" s="123"/>
      <c r="Q48" s="123"/>
      <c r="R48" s="13"/>
      <c r="S48" s="13"/>
      <c r="T48" s="106"/>
      <c r="U48" s="82"/>
      <c r="V48" s="13"/>
      <c r="W48" s="13"/>
      <c r="X48" s="13"/>
      <c r="Y48" s="13"/>
      <c r="Z48" s="13"/>
      <c r="AA48" s="13"/>
      <c r="AB48" s="24"/>
    </row>
    <row r="49" spans="1:28">
      <c r="A49" s="116" t="s">
        <v>75</v>
      </c>
      <c r="B49" s="266"/>
      <c r="C49" s="266"/>
      <c r="D49" s="267"/>
      <c r="E49" s="267"/>
      <c r="F49" s="335"/>
      <c r="G49" s="350">
        <v>279000</v>
      </c>
      <c r="H49" s="259"/>
      <c r="I49" s="253"/>
      <c r="J49" s="253"/>
      <c r="K49" s="253"/>
      <c r="L49" s="248"/>
      <c r="M49" s="265"/>
      <c r="N49" s="13"/>
      <c r="O49" s="126"/>
      <c r="P49" s="123"/>
      <c r="Q49" s="123"/>
      <c r="R49" s="13"/>
      <c r="S49" s="13"/>
      <c r="T49" s="106"/>
      <c r="U49" s="82"/>
      <c r="V49" s="13"/>
      <c r="W49" s="13"/>
      <c r="X49" s="13"/>
      <c r="Y49" s="13"/>
      <c r="Z49" s="13"/>
      <c r="AA49" s="13"/>
      <c r="AB49" s="24"/>
    </row>
    <row r="50" spans="1:28">
      <c r="A50" s="111" t="s">
        <v>18</v>
      </c>
      <c r="B50" s="111">
        <f t="shared" ref="B50:M50" si="0">SUM(B17:B49)</f>
        <v>1619544</v>
      </c>
      <c r="C50" s="111">
        <f t="shared" si="0"/>
        <v>1119544</v>
      </c>
      <c r="D50" s="137">
        <f t="shared" si="0"/>
        <v>1119544</v>
      </c>
      <c r="E50" s="137">
        <f t="shared" si="0"/>
        <v>1109356</v>
      </c>
      <c r="F50" s="112">
        <f t="shared" si="0"/>
        <v>1115544</v>
      </c>
      <c r="G50" s="112">
        <f>SUM(G17:G49)</f>
        <v>2825398</v>
      </c>
      <c r="H50" s="112">
        <f t="shared" si="0"/>
        <v>1869833</v>
      </c>
      <c r="I50" s="112">
        <f t="shared" si="0"/>
        <v>1760203</v>
      </c>
      <c r="J50" s="112">
        <f t="shared" si="0"/>
        <v>1668877</v>
      </c>
      <c r="K50" s="112">
        <f t="shared" si="0"/>
        <v>1668877</v>
      </c>
      <c r="L50" s="112">
        <f t="shared" si="0"/>
        <v>1668877</v>
      </c>
      <c r="M50" s="113">
        <f t="shared" si="0"/>
        <v>1651544</v>
      </c>
      <c r="N50" s="13"/>
      <c r="O50" s="126"/>
      <c r="P50" s="123"/>
      <c r="Q50" s="123"/>
      <c r="R50" s="13"/>
      <c r="S50" s="77"/>
      <c r="T50" s="106"/>
      <c r="U50" s="82"/>
      <c r="V50" s="13"/>
      <c r="W50" s="13"/>
      <c r="X50" s="13"/>
      <c r="Y50" s="13"/>
      <c r="Z50" s="13"/>
      <c r="AA50" s="13"/>
      <c r="AB50" s="24"/>
    </row>
    <row r="51" spans="1:28" ht="12" customHeight="1">
      <c r="A51" s="77" t="s">
        <v>76</v>
      </c>
      <c r="B51" s="77"/>
      <c r="C51" s="77"/>
      <c r="D51" s="276"/>
      <c r="E51" s="276"/>
      <c r="F51" s="248"/>
      <c r="G51" s="230">
        <v>1700000</v>
      </c>
      <c r="H51" s="95">
        <v>1700000</v>
      </c>
      <c r="I51" s="237">
        <v>1600000</v>
      </c>
      <c r="J51" s="237">
        <v>1560000</v>
      </c>
      <c r="K51" s="237">
        <v>1560000</v>
      </c>
      <c r="L51" s="237">
        <v>1560000</v>
      </c>
      <c r="M51" s="237">
        <v>1560000</v>
      </c>
      <c r="N51" s="13"/>
      <c r="O51" s="126"/>
      <c r="P51" s="123"/>
      <c r="Q51" s="123"/>
      <c r="R51" s="13"/>
      <c r="S51" s="13"/>
      <c r="T51" s="106"/>
      <c r="U51" s="13"/>
      <c r="V51" s="120"/>
      <c r="W51" s="24"/>
      <c r="X51" s="24"/>
      <c r="Y51" s="24"/>
      <c r="Z51" s="24"/>
      <c r="AA51" s="24"/>
      <c r="AB51" s="24"/>
    </row>
    <row r="52" spans="1:28">
      <c r="A52" s="13"/>
      <c r="B52" s="13"/>
      <c r="C52" s="13"/>
      <c r="D52" s="138"/>
      <c r="E52" s="139"/>
      <c r="F52" s="13"/>
      <c r="G52" s="13"/>
      <c r="H52" s="13"/>
      <c r="I52" s="13"/>
      <c r="J52" s="13"/>
      <c r="K52" s="13"/>
      <c r="L52" s="13"/>
      <c r="M52" s="13"/>
      <c r="N52" s="234" t="s">
        <v>163</v>
      </c>
      <c r="O52" s="234" t="s">
        <v>79</v>
      </c>
      <c r="P52" s="123"/>
      <c r="Q52" s="123"/>
      <c r="R52" s="13"/>
      <c r="S52" s="77"/>
      <c r="T52" s="106"/>
      <c r="U52" s="13"/>
      <c r="V52" s="24"/>
      <c r="W52" s="24"/>
      <c r="X52" s="24"/>
      <c r="Y52" s="24"/>
      <c r="Z52" s="24"/>
      <c r="AA52" s="24"/>
      <c r="AB52" s="24"/>
    </row>
    <row r="53" spans="1:28">
      <c r="A53" s="13"/>
      <c r="B53" s="60"/>
      <c r="C53" s="13"/>
      <c r="D53" s="139"/>
      <c r="E53" s="139"/>
      <c r="F53" s="13"/>
      <c r="G53" s="91"/>
      <c r="H53" s="13"/>
      <c r="I53" s="13"/>
      <c r="J53" s="13"/>
      <c r="K53" s="13"/>
      <c r="L53" s="13"/>
      <c r="M53" s="13"/>
      <c r="N53" s="232"/>
      <c r="O53" s="232">
        <v>17000</v>
      </c>
      <c r="P53" s="13"/>
      <c r="Q53" s="13"/>
      <c r="R53" s="13"/>
      <c r="S53" s="13"/>
      <c r="T53" s="106"/>
      <c r="U53" s="77"/>
      <c r="V53" s="24"/>
      <c r="W53" s="24"/>
      <c r="X53" s="24"/>
      <c r="Y53" s="24"/>
      <c r="Z53" s="24"/>
      <c r="AA53" s="24"/>
      <c r="AB53" s="24"/>
    </row>
    <row r="54" spans="1:28">
      <c r="A54" s="13"/>
      <c r="B54" s="13"/>
      <c r="C54" s="11"/>
      <c r="D54" s="13"/>
      <c r="E54" s="13"/>
      <c r="F54" s="13"/>
      <c r="G54" s="91"/>
      <c r="H54" s="13"/>
      <c r="I54" s="140" t="s">
        <v>77</v>
      </c>
      <c r="J54" s="140">
        <v>38700</v>
      </c>
      <c r="K54" s="260"/>
      <c r="L54" s="11"/>
      <c r="M54" s="141"/>
      <c r="N54" s="142" t="s">
        <v>78</v>
      </c>
      <c r="O54" s="143" t="s">
        <v>79</v>
      </c>
      <c r="P54" s="144"/>
      <c r="Q54" s="13"/>
      <c r="R54" s="13"/>
      <c r="S54" s="13"/>
      <c r="T54" s="106"/>
      <c r="U54" s="122"/>
      <c r="V54" s="24"/>
      <c r="W54" s="24"/>
      <c r="X54" s="24"/>
      <c r="Y54" s="145"/>
      <c r="Z54" s="24"/>
      <c r="AA54" s="145"/>
      <c r="AB54" s="24"/>
    </row>
    <row r="55" spans="1:28">
      <c r="A55" s="13"/>
      <c r="B55" s="246">
        <v>86400</v>
      </c>
      <c r="C55" s="246" t="s">
        <v>59</v>
      </c>
      <c r="D55" s="246"/>
      <c r="E55" s="246"/>
      <c r="F55" s="246"/>
      <c r="G55" s="91"/>
      <c r="H55" s="13"/>
      <c r="I55" s="146" t="s">
        <v>80</v>
      </c>
      <c r="J55" s="224">
        <v>22700</v>
      </c>
      <c r="K55" s="228"/>
      <c r="L55" s="11"/>
      <c r="M55" s="11"/>
      <c r="N55" s="142"/>
      <c r="O55" s="142">
        <v>37000</v>
      </c>
      <c r="P55" s="144"/>
      <c r="Q55" s="13"/>
      <c r="R55" s="13"/>
      <c r="S55" s="77"/>
      <c r="T55" s="106"/>
      <c r="U55" s="13"/>
      <c r="V55" s="24"/>
      <c r="W55" s="24"/>
      <c r="X55" s="24"/>
      <c r="Y55" s="145"/>
      <c r="Z55" s="24"/>
      <c r="AA55" s="24"/>
      <c r="AB55" s="24"/>
    </row>
    <row r="56" spans="1:28">
      <c r="A56" s="13"/>
      <c r="B56" s="247">
        <v>166700</v>
      </c>
      <c r="C56" s="247" t="s">
        <v>60</v>
      </c>
      <c r="D56" s="247"/>
      <c r="E56" s="13"/>
      <c r="F56" s="13"/>
      <c r="G56" s="91"/>
      <c r="H56" s="13"/>
      <c r="I56" s="140" t="s">
        <v>81</v>
      </c>
      <c r="J56" s="140">
        <v>48400</v>
      </c>
      <c r="K56" s="228"/>
      <c r="L56" s="13"/>
      <c r="M56" s="11"/>
      <c r="N56" s="144"/>
      <c r="O56" s="144"/>
      <c r="P56" s="144"/>
      <c r="Q56" s="13"/>
      <c r="R56" s="13"/>
      <c r="S56" s="77"/>
      <c r="T56" s="106"/>
      <c r="U56" s="13"/>
      <c r="V56" s="24"/>
      <c r="W56" s="120"/>
      <c r="X56" s="24"/>
      <c r="Y56" s="145"/>
      <c r="Z56" s="24"/>
      <c r="AA56" s="24"/>
      <c r="AB56" s="24"/>
    </row>
    <row r="57" spans="1:28">
      <c r="A57" s="13"/>
      <c r="B57" s="249">
        <v>31200</v>
      </c>
      <c r="C57" s="249" t="s">
        <v>62</v>
      </c>
      <c r="D57" s="249"/>
      <c r="E57" s="249"/>
      <c r="F57" s="249"/>
      <c r="G57" s="91"/>
      <c r="H57" s="13"/>
      <c r="I57" s="146" t="s">
        <v>82</v>
      </c>
      <c r="J57" s="223">
        <v>48400</v>
      </c>
      <c r="K57" s="227" t="s">
        <v>198</v>
      </c>
      <c r="L57" s="261"/>
      <c r="M57" s="78"/>
      <c r="N57" s="143" t="s">
        <v>83</v>
      </c>
      <c r="O57" s="143" t="s">
        <v>79</v>
      </c>
      <c r="P57" s="149"/>
      <c r="Q57" s="13"/>
      <c r="R57" s="13"/>
      <c r="S57" s="13"/>
      <c r="T57" s="106"/>
      <c r="U57" s="77"/>
      <c r="V57" s="24"/>
      <c r="W57" s="120"/>
      <c r="X57" s="24"/>
      <c r="Y57" s="145"/>
      <c r="Z57" s="24"/>
      <c r="AA57" s="145"/>
      <c r="AB57" s="24"/>
    </row>
    <row r="58" spans="1:28">
      <c r="A58" s="13"/>
      <c r="B58" s="11"/>
      <c r="C58" s="11"/>
      <c r="D58" s="13"/>
      <c r="E58" s="13"/>
      <c r="F58" s="13"/>
      <c r="G58" s="13"/>
      <c r="H58" s="13"/>
      <c r="I58" s="146" t="s">
        <v>84</v>
      </c>
      <c r="J58" s="147">
        <v>15240</v>
      </c>
      <c r="K58" s="150" t="s">
        <v>85</v>
      </c>
      <c r="L58" s="140"/>
      <c r="M58" s="13"/>
      <c r="N58" s="142"/>
      <c r="O58" s="142">
        <v>12900</v>
      </c>
      <c r="P58" s="144"/>
      <c r="Q58" s="13"/>
      <c r="R58" s="13"/>
      <c r="S58" s="82"/>
      <c r="T58" s="106"/>
      <c r="U58" s="82"/>
      <c r="V58" s="120"/>
      <c r="W58" s="120"/>
      <c r="X58" s="24"/>
      <c r="Y58" s="145"/>
      <c r="Z58" s="24"/>
      <c r="AA58" s="145"/>
      <c r="AB58" s="24"/>
    </row>
    <row r="59" spans="1:28">
      <c r="A59" s="13"/>
      <c r="B59" s="11"/>
      <c r="C59" s="11"/>
      <c r="D59" s="13"/>
      <c r="E59" s="13"/>
      <c r="F59" s="13"/>
      <c r="G59" s="13"/>
      <c r="H59" s="13"/>
      <c r="I59" s="148" t="s">
        <v>86</v>
      </c>
      <c r="J59" s="148">
        <v>53400</v>
      </c>
      <c r="K59" s="77"/>
      <c r="L59" s="13"/>
      <c r="M59" s="13"/>
      <c r="N59" s="142"/>
      <c r="O59" s="142">
        <v>21000</v>
      </c>
      <c r="P59" s="144"/>
      <c r="Q59" s="13"/>
      <c r="R59" s="13"/>
      <c r="S59" s="122"/>
      <c r="T59" s="106"/>
      <c r="U59" s="13"/>
      <c r="V59" s="24"/>
      <c r="W59" s="120"/>
      <c r="X59" s="24"/>
      <c r="Y59" s="145"/>
      <c r="Z59" s="24"/>
      <c r="AA59" s="24"/>
      <c r="AB59" s="24"/>
    </row>
    <row r="60" spans="1:28">
      <c r="A60" s="13"/>
      <c r="B60" s="11"/>
      <c r="C60" s="11"/>
      <c r="D60" s="13"/>
      <c r="E60" s="13"/>
      <c r="F60" s="13"/>
      <c r="G60" s="13"/>
      <c r="H60" s="13"/>
      <c r="I60" s="140" t="s">
        <v>87</v>
      </c>
      <c r="J60" s="224">
        <v>15900</v>
      </c>
      <c r="K60" s="228"/>
      <c r="L60" s="13"/>
      <c r="M60" s="13"/>
      <c r="N60" s="13"/>
      <c r="O60" s="13"/>
      <c r="P60" s="13"/>
      <c r="Q60" s="13"/>
      <c r="R60" s="13"/>
      <c r="S60" s="122"/>
      <c r="T60" s="106"/>
      <c r="U60" s="13"/>
      <c r="V60" s="24"/>
      <c r="W60" s="120"/>
      <c r="X60" s="24"/>
      <c r="Y60" s="145"/>
      <c r="Z60" s="24"/>
      <c r="AA60" s="24"/>
      <c r="AB60" s="24"/>
    </row>
    <row r="61" spans="1:28">
      <c r="A61" s="13"/>
      <c r="B61" s="11"/>
      <c r="C61" s="11"/>
      <c r="D61" s="13"/>
      <c r="E61" s="13"/>
      <c r="F61" s="13"/>
      <c r="G61" s="13"/>
      <c r="H61" s="13"/>
      <c r="I61" s="146" t="s">
        <v>88</v>
      </c>
      <c r="J61" s="223">
        <v>8090</v>
      </c>
      <c r="K61" s="262"/>
      <c r="L61" s="109"/>
      <c r="M61" s="11"/>
      <c r="N61" s="151" t="s">
        <v>89</v>
      </c>
      <c r="O61" s="151" t="s">
        <v>79</v>
      </c>
      <c r="P61" s="13"/>
      <c r="Q61" s="13"/>
      <c r="R61" s="13"/>
      <c r="S61" s="122"/>
      <c r="T61" s="152"/>
      <c r="U61" s="13"/>
      <c r="V61" s="24"/>
      <c r="W61" s="120"/>
      <c r="X61" s="24"/>
      <c r="Y61" s="145"/>
      <c r="Z61" s="24"/>
      <c r="AA61" s="24"/>
      <c r="AB61" s="24"/>
    </row>
    <row r="62" spans="1:28">
      <c r="A62" s="13"/>
      <c r="B62" s="11"/>
      <c r="C62" s="13"/>
      <c r="D62" s="13"/>
      <c r="E62" s="13"/>
      <c r="F62" s="13"/>
      <c r="G62" s="13"/>
      <c r="H62" s="13"/>
      <c r="I62" s="153" t="s">
        <v>90</v>
      </c>
      <c r="J62" s="153">
        <v>250000</v>
      </c>
      <c r="K62" s="13"/>
      <c r="L62" s="13"/>
      <c r="M62" s="13"/>
      <c r="N62" s="154"/>
      <c r="O62" s="154">
        <v>292500</v>
      </c>
      <c r="P62" s="13"/>
      <c r="Q62" s="13"/>
      <c r="R62" s="13"/>
      <c r="S62" s="122"/>
      <c r="T62" s="106"/>
      <c r="U62" s="13"/>
      <c r="V62" s="24"/>
      <c r="W62" s="120"/>
      <c r="X62" s="24"/>
      <c r="Y62" s="145"/>
      <c r="Z62" s="24"/>
      <c r="AA62" s="24"/>
      <c r="AB62" s="24"/>
    </row>
    <row r="63" spans="1:28">
      <c r="A63" s="13"/>
      <c r="B63" s="11"/>
      <c r="C63" s="1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22"/>
      <c r="T63" s="106"/>
      <c r="U63" s="13"/>
      <c r="V63" s="24"/>
      <c r="W63" s="120"/>
      <c r="X63" s="24"/>
      <c r="Y63" s="145"/>
      <c r="Z63" s="24"/>
      <c r="AA63" s="145"/>
      <c r="AB63" s="24"/>
    </row>
    <row r="64" spans="1:28">
      <c r="A64" s="13"/>
      <c r="B64" s="11"/>
      <c r="C64" s="1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22"/>
      <c r="T64" s="106"/>
      <c r="U64" s="13"/>
      <c r="V64" s="24"/>
      <c r="W64" s="120"/>
      <c r="X64" s="24"/>
      <c r="Y64" s="145"/>
      <c r="Z64" s="24"/>
      <c r="AA64" s="24"/>
      <c r="AB64" s="24"/>
    </row>
    <row r="65" spans="1:28">
      <c r="A65" s="13"/>
      <c r="B65" s="11"/>
      <c r="C65" s="13"/>
      <c r="D65" s="13"/>
      <c r="E65" s="13"/>
      <c r="F65" s="13"/>
      <c r="G65" s="13"/>
      <c r="H65" s="13"/>
      <c r="I65" s="13" t="s">
        <v>91</v>
      </c>
      <c r="J65" s="91" t="s">
        <v>79</v>
      </c>
      <c r="K65" s="11"/>
      <c r="L65" s="139" t="s">
        <v>74</v>
      </c>
      <c r="M65" s="231" t="s">
        <v>181</v>
      </c>
      <c r="N65" s="228"/>
      <c r="O65" s="228"/>
      <c r="P65" s="13"/>
      <c r="Q65" s="13"/>
      <c r="R65" s="13"/>
      <c r="S65" s="13"/>
      <c r="T65" s="106"/>
      <c r="U65" s="122"/>
      <c r="V65" s="120"/>
      <c r="W65" s="120"/>
      <c r="X65" s="24"/>
      <c r="Y65" s="24"/>
      <c r="Z65" s="24"/>
      <c r="AA65" s="24"/>
      <c r="AB65" s="24"/>
    </row>
    <row r="66" spans="1:28">
      <c r="A66" s="13"/>
      <c r="B66" s="13"/>
      <c r="C66" s="13"/>
      <c r="D66" s="13"/>
      <c r="E66" s="13"/>
      <c r="F66" s="13"/>
      <c r="G66" s="13"/>
      <c r="H66" s="13"/>
      <c r="I66" s="155" t="s">
        <v>93</v>
      </c>
      <c r="J66" s="156">
        <v>167233</v>
      </c>
      <c r="K66" s="154">
        <v>10</v>
      </c>
      <c r="L66" s="156" t="s">
        <v>9</v>
      </c>
      <c r="M66" s="232">
        <v>0</v>
      </c>
      <c r="N66" s="228">
        <v>4</v>
      </c>
      <c r="O66" s="228"/>
      <c r="P66" s="13"/>
      <c r="Q66" s="106"/>
      <c r="R66" s="13"/>
      <c r="S66" s="13"/>
      <c r="T66" s="106"/>
      <c r="U66" s="13"/>
      <c r="V66" s="24"/>
      <c r="W66" s="120"/>
      <c r="X66" s="24"/>
      <c r="Y66" s="24"/>
      <c r="Z66" s="24"/>
      <c r="AA66" s="24"/>
      <c r="AB66" s="24"/>
    </row>
    <row r="67" spans="1:28">
      <c r="A67" s="13"/>
      <c r="B67" s="13"/>
      <c r="C67" s="13"/>
      <c r="D67" s="13"/>
      <c r="E67" s="13"/>
      <c r="F67" s="13"/>
      <c r="G67" s="13"/>
      <c r="H67" s="13"/>
      <c r="I67" s="155" t="s">
        <v>94</v>
      </c>
      <c r="J67" s="156">
        <v>39000</v>
      </c>
      <c r="K67" s="157">
        <v>20</v>
      </c>
      <c r="L67" s="156" t="s">
        <v>95</v>
      </c>
      <c r="M67" s="232">
        <v>49500</v>
      </c>
      <c r="N67" s="228">
        <v>21</v>
      </c>
      <c r="O67" s="228"/>
      <c r="P67" s="144"/>
      <c r="Q67" s="106"/>
      <c r="R67" s="13"/>
      <c r="S67" s="13"/>
      <c r="T67" s="106"/>
      <c r="U67" s="13"/>
      <c r="V67" s="24"/>
      <c r="W67" s="120"/>
      <c r="X67" s="24"/>
      <c r="Y67" s="24"/>
      <c r="Z67" s="24"/>
      <c r="AA67" s="24"/>
      <c r="AB67" s="24"/>
    </row>
    <row r="68" spans="1:28">
      <c r="A68" s="13"/>
      <c r="B68" s="13"/>
      <c r="C68" s="13"/>
      <c r="D68" s="13"/>
      <c r="E68" s="13"/>
      <c r="F68" s="13"/>
      <c r="G68" s="13"/>
      <c r="H68" s="13"/>
      <c r="I68" s="155" t="s">
        <v>96</v>
      </c>
      <c r="J68" s="156">
        <v>72500</v>
      </c>
      <c r="K68" s="158"/>
      <c r="L68" s="229" t="s">
        <v>199</v>
      </c>
      <c r="M68" s="232">
        <v>22130</v>
      </c>
      <c r="N68" s="228"/>
      <c r="O68" s="228"/>
      <c r="P68" s="13"/>
      <c r="Q68" s="13"/>
      <c r="R68" s="13"/>
      <c r="S68" s="13"/>
      <c r="T68" s="106"/>
      <c r="U68" s="13"/>
      <c r="V68" s="24"/>
      <c r="W68" s="120"/>
      <c r="X68" s="24"/>
      <c r="Y68" s="24"/>
      <c r="Z68" s="24"/>
      <c r="AA68" s="24"/>
      <c r="AB68" s="24"/>
    </row>
    <row r="69" spans="1:28">
      <c r="A69" s="13"/>
      <c r="B69" s="13"/>
      <c r="C69" s="13"/>
      <c r="D69" s="13"/>
      <c r="E69" s="13"/>
      <c r="F69" s="13"/>
      <c r="G69" s="13"/>
      <c r="H69" s="13"/>
      <c r="I69" s="155" t="s">
        <v>97</v>
      </c>
      <c r="J69" s="156">
        <v>279000</v>
      </c>
      <c r="K69" s="158"/>
      <c r="L69" s="156" t="s">
        <v>98</v>
      </c>
      <c r="M69" s="232">
        <v>15000</v>
      </c>
      <c r="N69" s="228"/>
      <c r="O69" s="228"/>
      <c r="P69" s="13"/>
      <c r="Q69" s="106"/>
      <c r="R69" s="13"/>
      <c r="S69" s="13"/>
      <c r="T69" s="106"/>
      <c r="U69" s="13"/>
      <c r="V69" s="24"/>
      <c r="W69" s="120"/>
      <c r="X69" s="24"/>
      <c r="Y69" s="24"/>
      <c r="Z69" s="24"/>
      <c r="AA69" s="24"/>
      <c r="AB69" s="24"/>
    </row>
    <row r="70" spans="1:28">
      <c r="A70" s="13"/>
      <c r="B70" s="13"/>
      <c r="C70" s="13"/>
      <c r="D70" s="13"/>
      <c r="E70" s="13"/>
      <c r="F70" s="13"/>
      <c r="G70" s="13"/>
      <c r="H70" s="13"/>
      <c r="I70" s="156"/>
      <c r="J70" s="156"/>
      <c r="K70" s="154"/>
      <c r="L70" s="156" t="s">
        <v>99</v>
      </c>
      <c r="M70" s="234" t="s">
        <v>200</v>
      </c>
      <c r="N70" s="228"/>
      <c r="O70" s="228"/>
      <c r="P70" s="13"/>
      <c r="Q70" s="13"/>
      <c r="R70" s="13"/>
      <c r="S70" s="13"/>
      <c r="T70" s="106"/>
      <c r="U70" s="13"/>
      <c r="V70" s="24"/>
      <c r="W70" s="120"/>
      <c r="X70" s="24"/>
      <c r="Y70" s="24"/>
      <c r="Z70" s="24"/>
      <c r="AA70" s="24"/>
      <c r="AB70" s="24"/>
    </row>
    <row r="71" spans="1:28">
      <c r="A71" s="13"/>
      <c r="B71" s="13"/>
      <c r="C71" s="13"/>
      <c r="D71" s="13"/>
      <c r="E71" s="13"/>
      <c r="F71" s="13"/>
      <c r="G71" s="13"/>
      <c r="H71" s="13"/>
      <c r="I71" s="156"/>
      <c r="J71" s="156"/>
      <c r="K71" s="154"/>
      <c r="L71" s="156" t="s">
        <v>100</v>
      </c>
      <c r="M71" s="232">
        <v>67000</v>
      </c>
      <c r="N71" s="228"/>
      <c r="O71" s="228"/>
      <c r="P71" s="13"/>
      <c r="Q71" s="13"/>
      <c r="R71" s="13"/>
      <c r="S71" s="13"/>
      <c r="T71" s="106"/>
      <c r="U71" s="13"/>
      <c r="V71" s="24"/>
      <c r="W71" s="120"/>
      <c r="X71" s="24"/>
      <c r="Y71" s="24"/>
      <c r="Z71" s="24"/>
      <c r="AA71" s="24"/>
      <c r="AB71" s="24"/>
    </row>
    <row r="72" spans="1:28">
      <c r="A72" s="13"/>
      <c r="B72" s="13"/>
      <c r="C72" s="13"/>
      <c r="D72" s="13"/>
      <c r="E72" s="13"/>
      <c r="F72" s="13"/>
      <c r="G72" s="13"/>
      <c r="H72" s="13"/>
      <c r="I72" s="156"/>
      <c r="J72" s="156"/>
      <c r="K72" s="154"/>
      <c r="L72" s="159" t="s">
        <v>18</v>
      </c>
      <c r="M72" s="233">
        <f>SUM(M66:M71)</f>
        <v>153630</v>
      </c>
      <c r="N72" s="228"/>
      <c r="O72" s="228"/>
      <c r="P72" s="13"/>
      <c r="Q72" s="13"/>
      <c r="R72" s="13"/>
      <c r="S72" s="13"/>
      <c r="T72" s="106"/>
      <c r="U72" s="13"/>
      <c r="V72" s="24"/>
      <c r="W72" s="24"/>
      <c r="X72" s="24"/>
      <c r="Y72" s="24"/>
      <c r="Z72" s="24"/>
      <c r="AA72" s="24"/>
      <c r="AB72" s="24"/>
    </row>
    <row r="73" spans="1:28">
      <c r="A73" s="13"/>
      <c r="B73" s="13"/>
      <c r="C73" s="13"/>
      <c r="D73" s="13"/>
      <c r="E73" s="13"/>
      <c r="F73" s="13"/>
      <c r="G73" s="13"/>
      <c r="H73" s="13"/>
      <c r="I73" s="159" t="s">
        <v>18</v>
      </c>
      <c r="J73" s="159">
        <f>J66+J67+J68+J69+J70+J71+J72</f>
        <v>557733</v>
      </c>
      <c r="K73" s="11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24"/>
      <c r="W73" s="24"/>
      <c r="X73" s="24"/>
      <c r="Y73" s="24"/>
      <c r="Z73" s="24"/>
      <c r="AA73" s="24"/>
      <c r="AB73" s="24"/>
    </row>
    <row r="74" spans="1:28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 t="s">
        <v>101</v>
      </c>
      <c r="M74" s="91" t="s">
        <v>79</v>
      </c>
      <c r="N74" s="13"/>
      <c r="O74" s="13"/>
      <c r="P74" s="13"/>
      <c r="Q74" s="13"/>
      <c r="R74" s="13"/>
      <c r="S74" s="13"/>
      <c r="T74" s="106"/>
      <c r="U74" s="13"/>
      <c r="V74" s="24"/>
      <c r="W74" s="24"/>
      <c r="X74" s="24"/>
      <c r="Y74" s="24"/>
      <c r="Z74" s="24"/>
      <c r="AA74" s="24"/>
      <c r="AB74" s="24"/>
    </row>
    <row r="75" spans="1:28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56" t="s">
        <v>102</v>
      </c>
      <c r="M75" s="156">
        <v>15000</v>
      </c>
      <c r="N75" s="13"/>
      <c r="O75" s="13"/>
      <c r="P75" s="13"/>
      <c r="Q75" s="13"/>
      <c r="R75" s="13"/>
      <c r="S75" s="13"/>
      <c r="T75" s="106"/>
      <c r="U75" s="13"/>
      <c r="V75" s="24"/>
      <c r="W75" s="24"/>
      <c r="X75" s="24"/>
      <c r="Y75" s="24"/>
      <c r="Z75" s="24"/>
      <c r="AA75" s="24"/>
      <c r="AB75" s="24"/>
    </row>
    <row r="76" spans="1:28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06"/>
      <c r="U76" s="13"/>
      <c r="V76" s="24"/>
      <c r="W76" s="24"/>
      <c r="X76" s="24"/>
      <c r="Y76" s="24"/>
      <c r="Z76" s="24"/>
      <c r="AA76" s="24"/>
      <c r="AB76" s="24"/>
    </row>
    <row r="77" spans="1:28" ht="18.7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60"/>
      <c r="S77" s="160"/>
      <c r="T77" s="161"/>
      <c r="U77" s="160"/>
      <c r="V77" s="120"/>
      <c r="W77" s="24"/>
      <c r="X77" s="24"/>
      <c r="Y77" s="24"/>
      <c r="Z77" s="24"/>
      <c r="AA77" s="24"/>
      <c r="AB77" s="24"/>
    </row>
    <row r="78" spans="1:2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24"/>
      <c r="W78" s="24"/>
      <c r="X78" s="24"/>
      <c r="Y78" s="24"/>
      <c r="Z78" s="24"/>
      <c r="AA78" s="24"/>
      <c r="AB78" s="24"/>
    </row>
    <row r="79" spans="1:28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24"/>
      <c r="W79" s="24"/>
      <c r="X79" s="24"/>
      <c r="Y79" s="24"/>
      <c r="Z79" s="24"/>
      <c r="AA79" s="24"/>
      <c r="AB79" s="24"/>
    </row>
    <row r="80" spans="1:28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24"/>
      <c r="W80" s="24"/>
      <c r="X80" s="24"/>
      <c r="Y80" s="24"/>
      <c r="Z80" s="24"/>
      <c r="AA80" s="24"/>
      <c r="AB80" s="24"/>
    </row>
    <row r="81" spans="1:28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24"/>
      <c r="W81" s="24"/>
      <c r="X81" s="24"/>
      <c r="Y81" s="24"/>
      <c r="Z81" s="24"/>
      <c r="AA81" s="24"/>
      <c r="AB81" s="24"/>
    </row>
    <row r="82" spans="1:28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>
      <c r="T84" s="24"/>
      <c r="U84" s="24"/>
      <c r="V84" s="24"/>
      <c r="W84" s="24"/>
      <c r="X84" s="24"/>
      <c r="Y84" s="24"/>
      <c r="Z84" s="24"/>
      <c r="AA84" s="24"/>
      <c r="AB84" s="24"/>
    </row>
    <row r="85" spans="1:28">
      <c r="T85" s="24"/>
      <c r="U85" s="24"/>
      <c r="V85" s="24"/>
      <c r="W85" s="24"/>
      <c r="X85" s="24"/>
      <c r="Y85" s="24"/>
      <c r="Z85" s="24"/>
      <c r="AA85" s="24"/>
      <c r="AB85" s="24"/>
    </row>
    <row r="86" spans="1:28">
      <c r="T86" s="24"/>
      <c r="U86" s="24"/>
      <c r="V86" s="24"/>
      <c r="W86" s="24"/>
      <c r="X86" s="24"/>
      <c r="Y86" s="24"/>
      <c r="Z86" s="24"/>
      <c r="AA86" s="24"/>
      <c r="AB86" s="24"/>
    </row>
    <row r="87" spans="1:28">
      <c r="T87" s="24"/>
      <c r="U87" s="24"/>
      <c r="V87" s="24"/>
      <c r="W87" s="24"/>
      <c r="X87" s="24"/>
      <c r="Y87" s="24"/>
      <c r="Z87" s="24"/>
      <c r="AA87" s="24"/>
      <c r="AB87" s="24"/>
    </row>
    <row r="88" spans="1:28">
      <c r="T88" s="24"/>
      <c r="U88" s="24"/>
      <c r="V88" s="24"/>
      <c r="W88" s="24"/>
      <c r="X88" s="24"/>
      <c r="Y88" s="24"/>
      <c r="Z88" s="24"/>
      <c r="AA88" s="24"/>
      <c r="AB88" s="24"/>
    </row>
  </sheetData>
  <pageMargins left="0.7" right="0.7" top="0.75" bottom="0.75" header="0.3" footer="0.3"/>
  <pageSetup paperSize="9"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6"/>
  <sheetViews>
    <sheetView topLeftCell="A11" zoomScale="78" workbookViewId="0">
      <selection activeCell="P31" sqref="P31"/>
    </sheetView>
  </sheetViews>
  <sheetFormatPr baseColWidth="10" defaultColWidth="11.42578125" defaultRowHeight="15"/>
  <cols>
    <col min="5" max="5" width="16.7109375" customWidth="1"/>
    <col min="16" max="16" width="15.28515625" bestFit="1" customWidth="1"/>
    <col min="17" max="17" width="18.7109375" customWidth="1"/>
    <col min="20" max="20" width="12.5703125" bestFit="1" customWidth="1"/>
  </cols>
  <sheetData>
    <row r="1" spans="1:20">
      <c r="B1" s="162"/>
      <c r="E1" s="36"/>
    </row>
    <row r="2" spans="1:20">
      <c r="B2" s="162"/>
      <c r="E2" s="36"/>
    </row>
    <row r="3" spans="1:20">
      <c r="B3" s="162"/>
      <c r="E3" s="36"/>
    </row>
    <row r="4" spans="1:20">
      <c r="B4" s="162"/>
      <c r="D4" s="36"/>
      <c r="E4" s="36"/>
    </row>
    <row r="5" spans="1:20">
      <c r="A5" s="36"/>
      <c r="B5" s="163"/>
      <c r="E5" s="36"/>
    </row>
    <row r="6" spans="1:20">
      <c r="A6" s="36"/>
      <c r="B6" s="163"/>
      <c r="E6" s="36"/>
    </row>
    <row r="7" spans="1:20">
      <c r="A7" s="36"/>
      <c r="B7" s="163"/>
      <c r="E7" s="36"/>
    </row>
    <row r="8" spans="1:20">
      <c r="A8" s="36"/>
      <c r="B8" s="163"/>
      <c r="E8" s="36"/>
    </row>
    <row r="9" spans="1:20">
      <c r="A9" s="36"/>
      <c r="B9" s="163"/>
      <c r="E9" s="36"/>
    </row>
    <row r="10" spans="1:20">
      <c r="A10" s="36"/>
      <c r="B10" s="163"/>
      <c r="E10" s="36"/>
    </row>
    <row r="11" spans="1:20">
      <c r="A11" s="36"/>
      <c r="B11" s="163"/>
      <c r="E11" s="36"/>
    </row>
    <row r="12" spans="1:20">
      <c r="A12" s="11"/>
      <c r="B12" s="20"/>
      <c r="C12" s="13"/>
      <c r="D12" s="13"/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11"/>
      <c r="B13" s="20"/>
      <c r="C13" s="13"/>
      <c r="D13" s="13"/>
      <c r="E13" s="11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 t="s">
        <v>103</v>
      </c>
      <c r="S13" s="13">
        <v>47999326</v>
      </c>
      <c r="T13" s="13" t="s">
        <v>104</v>
      </c>
    </row>
    <row r="14" spans="1:20">
      <c r="A14" s="11"/>
      <c r="B14" s="164" t="s">
        <v>105</v>
      </c>
      <c r="C14" s="165"/>
      <c r="D14" s="165" t="s">
        <v>106</v>
      </c>
      <c r="E14" s="13"/>
      <c r="F14" s="13"/>
      <c r="G14" s="13"/>
      <c r="H14" s="13"/>
      <c r="I14" s="13" t="s">
        <v>107</v>
      </c>
      <c r="J14" s="13" t="s">
        <v>108</v>
      </c>
      <c r="K14" s="13"/>
      <c r="L14" s="13"/>
      <c r="M14" s="156" t="s">
        <v>109</v>
      </c>
      <c r="N14" s="156"/>
      <c r="O14" s="156" t="s">
        <v>110</v>
      </c>
      <c r="P14" s="11"/>
      <c r="Q14" s="13"/>
      <c r="R14" s="13"/>
      <c r="S14" s="13"/>
      <c r="T14" s="13"/>
    </row>
    <row r="15" spans="1:20">
      <c r="A15" s="11"/>
      <c r="B15" s="20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56" t="s">
        <v>111</v>
      </c>
      <c r="N15" s="13"/>
      <c r="O15" s="13"/>
      <c r="P15" s="13"/>
      <c r="Q15" s="13"/>
      <c r="R15" s="13"/>
      <c r="S15" s="13"/>
      <c r="T15" s="13"/>
    </row>
    <row r="16" spans="1:20">
      <c r="A16" s="13"/>
      <c r="B16" s="16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>
      <c r="A17" s="11"/>
      <c r="B17" s="167" t="s">
        <v>112</v>
      </c>
      <c r="C17" s="168" t="s">
        <v>113</v>
      </c>
      <c r="D17" s="13"/>
      <c r="E17" s="13"/>
      <c r="F17" s="13"/>
      <c r="G17" s="13"/>
      <c r="H17" s="13"/>
      <c r="I17" s="169" t="s">
        <v>114</v>
      </c>
      <c r="J17" s="169"/>
      <c r="K17" s="13"/>
      <c r="L17" s="13"/>
      <c r="M17" s="13"/>
      <c r="N17" s="13"/>
      <c r="O17" s="13"/>
      <c r="P17" s="170">
        <v>15743</v>
      </c>
      <c r="Q17" s="13"/>
      <c r="R17" s="13"/>
      <c r="S17" s="13"/>
      <c r="T17" s="13"/>
    </row>
    <row r="18" spans="1:20">
      <c r="A18" s="13"/>
      <c r="B18" s="156" t="s">
        <v>115</v>
      </c>
      <c r="C18" s="156"/>
      <c r="D18" s="156" t="s">
        <v>116</v>
      </c>
      <c r="E18" s="156" t="s">
        <v>117</v>
      </c>
      <c r="F18" s="13"/>
      <c r="G18" s="13"/>
      <c r="H18" s="13"/>
      <c r="I18" s="169"/>
      <c r="J18" s="169"/>
      <c r="K18" s="11"/>
      <c r="L18" s="11"/>
      <c r="M18" s="11"/>
      <c r="N18" s="11"/>
      <c r="O18" s="11"/>
      <c r="P18" s="11" t="s">
        <v>118</v>
      </c>
      <c r="Q18" s="11"/>
      <c r="R18" s="11">
        <v>46</v>
      </c>
      <c r="S18" s="13"/>
      <c r="T18" s="13"/>
    </row>
    <row r="19" spans="1:20">
      <c r="A19" s="13" t="s">
        <v>119</v>
      </c>
      <c r="B19" s="171" t="s">
        <v>120</v>
      </c>
      <c r="C19" s="171"/>
      <c r="D19" s="171">
        <v>180301</v>
      </c>
      <c r="E19" s="13"/>
      <c r="F19" s="13">
        <v>180301</v>
      </c>
      <c r="G19" s="13" t="s">
        <v>121</v>
      </c>
      <c r="H19" s="13"/>
      <c r="I19" s="169" t="s">
        <v>122</v>
      </c>
      <c r="J19" s="169" t="s">
        <v>108</v>
      </c>
      <c r="K19" s="11"/>
      <c r="L19" s="11"/>
      <c r="M19" s="11"/>
      <c r="N19" s="11"/>
      <c r="O19" s="11"/>
      <c r="P19" s="11"/>
      <c r="Q19" s="11"/>
      <c r="R19" s="11"/>
      <c r="S19" s="13"/>
      <c r="T19" s="13"/>
    </row>
    <row r="20" spans="1:20">
      <c r="A20" s="13"/>
      <c r="B20" s="171" t="s">
        <v>123</v>
      </c>
      <c r="C20" s="171"/>
      <c r="D20" s="171"/>
      <c r="E20" s="13"/>
      <c r="F20" s="13"/>
      <c r="G20" s="13"/>
      <c r="H20" s="13"/>
      <c r="I20" s="13"/>
      <c r="J20" s="13"/>
      <c r="K20" s="11"/>
      <c r="L20" s="11"/>
      <c r="M20" s="11"/>
      <c r="N20" s="11"/>
      <c r="O20" s="11"/>
      <c r="P20" s="11"/>
      <c r="Q20" s="11"/>
      <c r="R20" s="11"/>
      <c r="S20" s="13"/>
      <c r="T20" s="13"/>
    </row>
    <row r="21" spans="1:20">
      <c r="A21" s="13"/>
      <c r="B21" s="168" t="s">
        <v>124</v>
      </c>
      <c r="C21" s="168"/>
      <c r="D21" s="168" t="s">
        <v>125</v>
      </c>
      <c r="E21" s="168"/>
      <c r="F21" s="168"/>
      <c r="G21" s="13"/>
      <c r="H21" s="13"/>
      <c r="I21" s="13"/>
      <c r="J21" s="13" t="s">
        <v>126</v>
      </c>
      <c r="K21" s="11">
        <v>2307</v>
      </c>
      <c r="L21" s="11" t="s">
        <v>127</v>
      </c>
      <c r="M21" s="11"/>
      <c r="N21" s="11"/>
      <c r="O21" s="11"/>
      <c r="P21" s="11"/>
      <c r="Q21" s="11"/>
      <c r="R21" s="11"/>
      <c r="S21" s="13"/>
      <c r="T21" s="13"/>
    </row>
    <row r="22" spans="1:20">
      <c r="A22" s="13"/>
      <c r="B22" s="168" t="s">
        <v>128</v>
      </c>
      <c r="C22" s="168"/>
      <c r="D22" s="168" t="s">
        <v>129</v>
      </c>
      <c r="E22" s="168"/>
      <c r="F22" s="168"/>
      <c r="G22" s="13"/>
      <c r="H22" s="13"/>
      <c r="I22" s="13"/>
      <c r="J22" s="13" t="s">
        <v>130</v>
      </c>
      <c r="K22" s="11">
        <v>1803</v>
      </c>
      <c r="L22" s="11" t="s">
        <v>131</v>
      </c>
      <c r="M22" s="11"/>
      <c r="N22" s="11"/>
      <c r="O22" s="11"/>
      <c r="P22" s="11"/>
      <c r="Q22" s="11"/>
      <c r="R22" s="11"/>
      <c r="S22" s="13"/>
      <c r="T22" s="13"/>
    </row>
    <row r="23" spans="1:20">
      <c r="A23" s="13"/>
      <c r="B23" s="172"/>
      <c r="C23" s="172"/>
      <c r="D23" s="173"/>
      <c r="E23" s="172"/>
      <c r="F23" s="13"/>
      <c r="G23" s="13"/>
      <c r="H23" s="13"/>
      <c r="I23" s="13"/>
      <c r="J23" s="13"/>
      <c r="K23" s="11"/>
      <c r="L23" s="11"/>
      <c r="M23" s="11"/>
      <c r="N23" s="11"/>
      <c r="O23" s="11"/>
      <c r="P23" s="11"/>
      <c r="Q23" s="11"/>
      <c r="R23" s="11"/>
      <c r="S23" s="13"/>
      <c r="T23" s="13"/>
    </row>
    <row r="24" spans="1:20" ht="21">
      <c r="A24" s="13"/>
      <c r="B24" s="174" t="s">
        <v>132</v>
      </c>
      <c r="C24" s="174"/>
      <c r="D24" s="174" t="s">
        <v>133</v>
      </c>
      <c r="E24" s="13"/>
      <c r="F24" s="13"/>
      <c r="G24" s="13"/>
      <c r="H24" s="13"/>
      <c r="I24" s="13"/>
      <c r="J24" s="13"/>
      <c r="K24" s="175"/>
      <c r="L24" s="11"/>
      <c r="M24" s="176"/>
      <c r="N24" s="11"/>
      <c r="O24" s="11" t="s">
        <v>134</v>
      </c>
      <c r="P24" s="11"/>
      <c r="Q24" s="11" t="s">
        <v>135</v>
      </c>
      <c r="R24" s="11">
        <v>578</v>
      </c>
      <c r="S24" s="13"/>
      <c r="T24" s="13"/>
    </row>
    <row r="25" spans="1:20" ht="21">
      <c r="A25" s="13"/>
      <c r="B25" s="177" t="s">
        <v>136</v>
      </c>
      <c r="C25" s="177"/>
      <c r="D25" s="177" t="s">
        <v>137</v>
      </c>
      <c r="E25" s="177"/>
      <c r="F25" s="13"/>
      <c r="G25" s="13"/>
      <c r="H25" s="13"/>
      <c r="I25" s="13"/>
      <c r="J25" s="178"/>
      <c r="K25" s="175" t="s">
        <v>138</v>
      </c>
      <c r="L25" s="179" t="s">
        <v>139</v>
      </c>
      <c r="M25" s="176"/>
      <c r="N25" s="11"/>
      <c r="O25" s="11" t="s">
        <v>140</v>
      </c>
      <c r="P25" s="11"/>
      <c r="Q25" s="20">
        <v>230302672984</v>
      </c>
      <c r="R25" s="11"/>
      <c r="S25" s="13"/>
      <c r="T25" s="13"/>
    </row>
    <row r="26" spans="1:20" ht="21">
      <c r="A26" s="13"/>
      <c r="B26" s="13" t="s">
        <v>141</v>
      </c>
      <c r="C26" s="13" t="s">
        <v>142</v>
      </c>
      <c r="D26" s="13" t="s">
        <v>143</v>
      </c>
      <c r="E26" s="13"/>
      <c r="F26" s="13"/>
      <c r="G26" s="13"/>
      <c r="H26" s="13"/>
      <c r="I26" s="13"/>
      <c r="J26" s="178"/>
      <c r="K26" s="175"/>
      <c r="L26" s="11"/>
      <c r="M26" s="11"/>
      <c r="N26" s="11"/>
      <c r="O26" s="123"/>
      <c r="P26" s="123"/>
      <c r="Q26" s="123"/>
      <c r="R26" s="13"/>
      <c r="S26" s="13"/>
      <c r="T26" s="13"/>
    </row>
    <row r="27" spans="1:20">
      <c r="A27" s="13"/>
      <c r="B27" s="11"/>
      <c r="C27" s="11"/>
      <c r="D27" s="11"/>
      <c r="E27" s="11"/>
      <c r="F27" s="13"/>
      <c r="G27" s="13"/>
      <c r="H27" s="13"/>
      <c r="I27" s="13"/>
      <c r="J27" s="13"/>
      <c r="K27" s="13"/>
      <c r="L27" s="13"/>
      <c r="M27" s="13"/>
      <c r="N27" s="13"/>
      <c r="O27" s="180" t="s">
        <v>144</v>
      </c>
      <c r="P27" s="180">
        <v>6907863</v>
      </c>
      <c r="Q27" s="180" t="s">
        <v>145</v>
      </c>
      <c r="R27" s="13"/>
      <c r="S27" s="13"/>
      <c r="T27" s="13"/>
    </row>
    <row r="28" spans="1:20">
      <c r="A28" s="13"/>
      <c r="B28" s="13" t="s">
        <v>146</v>
      </c>
      <c r="C28" s="13" t="s">
        <v>147</v>
      </c>
      <c r="D28" s="13" t="s">
        <v>148</v>
      </c>
      <c r="E28" s="13"/>
      <c r="F28" s="13"/>
      <c r="G28" s="156" t="s">
        <v>149</v>
      </c>
      <c r="H28" s="156"/>
      <c r="I28" s="156" t="s">
        <v>150</v>
      </c>
      <c r="J28" s="156">
        <v>1803</v>
      </c>
      <c r="K28" s="156"/>
      <c r="L28" s="156"/>
      <c r="M28" s="13"/>
      <c r="N28" s="13"/>
      <c r="O28" s="180"/>
      <c r="P28" s="180">
        <v>6907574</v>
      </c>
      <c r="Q28" s="180" t="s">
        <v>15</v>
      </c>
      <c r="R28" s="13"/>
      <c r="T28" s="13"/>
    </row>
    <row r="29" spans="1:20">
      <c r="A29" s="13"/>
      <c r="B29" s="177"/>
      <c r="C29" s="177"/>
      <c r="D29" s="181"/>
      <c r="E29" s="177"/>
      <c r="F29" s="13"/>
      <c r="G29" s="13"/>
      <c r="H29" s="13"/>
      <c r="I29" s="13"/>
      <c r="J29" s="13"/>
      <c r="K29" s="13"/>
      <c r="L29" s="13"/>
      <c r="M29" s="13"/>
      <c r="N29" s="13"/>
      <c r="O29" s="123"/>
      <c r="P29" s="123"/>
      <c r="Q29" s="123"/>
      <c r="R29" s="13"/>
      <c r="S29" s="13"/>
      <c r="T29" s="13"/>
    </row>
    <row r="30" spans="1:20">
      <c r="A30" s="13"/>
      <c r="B30" s="13" t="s">
        <v>151</v>
      </c>
      <c r="C30" s="13" t="s">
        <v>152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3"/>
      <c r="P30" s="123"/>
      <c r="Q30" s="123"/>
      <c r="R30" s="13"/>
      <c r="S30" s="13"/>
      <c r="T30" s="13"/>
    </row>
    <row r="31" spans="1:20">
      <c r="A31" s="13"/>
      <c r="B31" s="13"/>
      <c r="C31" s="174" t="s">
        <v>153</v>
      </c>
      <c r="D31" s="174">
        <v>6683339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>
      <c r="A32" s="13"/>
      <c r="B32" s="13" t="s">
        <v>154</v>
      </c>
      <c r="C32" s="13" t="s">
        <v>155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>
      <c r="A33" s="13"/>
      <c r="B33" s="13" t="s">
        <v>156</v>
      </c>
      <c r="C33" s="13" t="s">
        <v>157</v>
      </c>
      <c r="D33" s="13"/>
      <c r="E33" s="13"/>
      <c r="F33" s="13"/>
      <c r="G33" s="13"/>
      <c r="H33" s="13"/>
      <c r="I33" s="13"/>
      <c r="J33" s="13" t="s">
        <v>158</v>
      </c>
      <c r="K33" s="13" t="s">
        <v>83</v>
      </c>
      <c r="L33" s="13">
        <v>8231</v>
      </c>
      <c r="M33" s="13"/>
      <c r="N33" s="13" t="s">
        <v>159</v>
      </c>
      <c r="O33" s="13" t="s">
        <v>160</v>
      </c>
      <c r="P33" s="13"/>
      <c r="Q33" s="13"/>
      <c r="R33" s="13"/>
      <c r="S33" s="13"/>
      <c r="T33" s="13"/>
    </row>
    <row r="34" spans="1:20">
      <c r="A34" s="13"/>
      <c r="B34" s="13" t="s">
        <v>161</v>
      </c>
      <c r="C34" s="13"/>
      <c r="D34" s="13" t="s">
        <v>150</v>
      </c>
      <c r="E34" s="182">
        <v>54183290943</v>
      </c>
      <c r="F34" s="13" t="s">
        <v>162</v>
      </c>
      <c r="G34" s="13"/>
      <c r="H34" s="11"/>
      <c r="I34" s="13"/>
      <c r="J34" s="11"/>
      <c r="K34" s="183" t="s">
        <v>163</v>
      </c>
      <c r="L34" s="13">
        <v>6849</v>
      </c>
      <c r="M34" s="13"/>
      <c r="N34" s="13"/>
      <c r="O34" s="13"/>
      <c r="P34" s="13"/>
      <c r="Q34" s="13"/>
      <c r="R34" s="13"/>
      <c r="S34" s="13"/>
      <c r="T34" s="13"/>
    </row>
    <row r="35" spans="1:20">
      <c r="A35" s="13"/>
      <c r="B35" s="13" t="s">
        <v>164</v>
      </c>
      <c r="C35" s="13"/>
      <c r="D35" s="13" t="s">
        <v>165</v>
      </c>
      <c r="E35" s="13"/>
      <c r="F35" s="13"/>
      <c r="G35" s="13"/>
      <c r="H35" s="11"/>
      <c r="I35" s="11"/>
      <c r="J35" s="11"/>
      <c r="K35" s="11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5.75">
      <c r="A36" s="13"/>
      <c r="B36" s="13" t="s">
        <v>166</v>
      </c>
      <c r="C36" s="13"/>
      <c r="D36" s="184">
        <v>36414124</v>
      </c>
      <c r="E36" s="13">
        <v>36414125</v>
      </c>
      <c r="F36" s="13"/>
      <c r="G36" s="13"/>
      <c r="H36" s="11"/>
      <c r="I36" s="11"/>
      <c r="J36" s="11"/>
      <c r="K36" s="11"/>
      <c r="L36" s="13"/>
      <c r="M36" s="13"/>
      <c r="N36" s="13"/>
      <c r="O36" s="13"/>
      <c r="P36" s="13"/>
      <c r="Q36" s="13"/>
      <c r="R36" s="13"/>
      <c r="S36" s="13"/>
      <c r="T36" s="13"/>
    </row>
    <row r="37" spans="1:20">
      <c r="A37" s="13"/>
      <c r="B37" s="13" t="s">
        <v>167</v>
      </c>
      <c r="C37" s="13"/>
      <c r="D37" s="185" t="s">
        <v>168</v>
      </c>
      <c r="E37" s="13"/>
      <c r="F37" s="13"/>
      <c r="G37" s="13" t="s">
        <v>169</v>
      </c>
      <c r="H37" s="11"/>
      <c r="I37" s="11"/>
      <c r="J37" s="11"/>
      <c r="K37" s="11"/>
      <c r="L37" s="13"/>
      <c r="M37" s="13"/>
      <c r="N37" s="13"/>
      <c r="O37" s="13"/>
      <c r="P37" s="13"/>
      <c r="Q37" s="13"/>
      <c r="R37" s="13"/>
      <c r="S37" s="13"/>
      <c r="T37" s="13"/>
    </row>
    <row r="38" spans="1:20">
      <c r="A38" s="13"/>
      <c r="B38" s="13"/>
      <c r="C38" s="13"/>
      <c r="D38" s="13"/>
      <c r="E38" s="13"/>
      <c r="F38" s="13"/>
      <c r="G38" s="13"/>
      <c r="H38" s="11"/>
      <c r="I38" s="11"/>
      <c r="J38" s="11"/>
      <c r="K38" s="11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28.5">
      <c r="D39" s="186"/>
      <c r="E39" s="187"/>
      <c r="F39" s="187"/>
      <c r="G39" s="187"/>
      <c r="H39" s="188"/>
      <c r="I39" s="11"/>
      <c r="M39" s="189"/>
      <c r="N39" s="189"/>
      <c r="O39" s="189"/>
      <c r="P39" s="36"/>
      <c r="Q39" s="190"/>
    </row>
    <row r="40" spans="1:20" ht="28.5">
      <c r="D40" s="186"/>
      <c r="E40" s="187"/>
      <c r="F40" s="187"/>
      <c r="G40" s="187"/>
      <c r="H40" s="188"/>
      <c r="L40" s="191"/>
      <c r="M40" s="189"/>
      <c r="N40" s="189"/>
      <c r="O40" s="189"/>
      <c r="P40" s="192"/>
      <c r="S40" s="190"/>
      <c r="T40" s="190"/>
    </row>
    <row r="41" spans="1:20" ht="28.5">
      <c r="D41" s="186"/>
      <c r="E41" s="187"/>
      <c r="F41" s="187"/>
      <c r="G41" s="187"/>
      <c r="K41" s="193"/>
      <c r="M41" s="194"/>
      <c r="N41" s="36"/>
      <c r="O41" s="36"/>
      <c r="P41" s="192"/>
      <c r="S41" s="195"/>
      <c r="T41" s="195"/>
    </row>
    <row r="42" spans="1:20">
      <c r="D42" s="188"/>
      <c r="M42" s="196"/>
      <c r="N42" s="36"/>
      <c r="O42" s="36"/>
      <c r="P42" s="36"/>
      <c r="Q42" s="36"/>
    </row>
    <row r="43" spans="1:20">
      <c r="D43" s="188"/>
      <c r="I43" s="145"/>
      <c r="M43" s="196"/>
      <c r="N43" s="36"/>
      <c r="O43" s="36"/>
      <c r="P43" s="36"/>
      <c r="Q43" s="36"/>
    </row>
    <row r="44" spans="1:20">
      <c r="D44" s="188"/>
      <c r="M44" s="197" t="s">
        <v>170</v>
      </c>
      <c r="N44" s="36"/>
      <c r="O44" s="36"/>
      <c r="P44" s="36"/>
    </row>
    <row r="45" spans="1:20">
      <c r="D45" s="188"/>
      <c r="J45" s="198"/>
      <c r="M45" s="197"/>
      <c r="N45" s="36"/>
      <c r="O45" s="36"/>
      <c r="P45" s="36"/>
    </row>
    <row r="46" spans="1:20">
      <c r="O46" s="36"/>
      <c r="P46" s="36"/>
    </row>
  </sheetData>
  <hyperlinks>
    <hyperlink ref="L25" r:id="rId1"/>
    <hyperlink ref="D37" r:id="rId2"/>
  </hyperlinks>
  <pageMargins left="0.7" right="0.7" top="0.75" bottom="0.75" header="0.3" footer="0.3"/>
  <pageSetup paperSize="9" orientation="portrait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opLeftCell="B1" workbookViewId="0">
      <selection activeCell="J7" sqref="J7"/>
    </sheetView>
  </sheetViews>
  <sheetFormatPr baseColWidth="10" defaultRowHeight="15"/>
  <sheetData>
    <row r="1" spans="1:22">
      <c r="A1" s="13"/>
      <c r="B1" s="13"/>
      <c r="C1" s="13"/>
      <c r="D1" s="1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22">
      <c r="A2" s="13" t="s">
        <v>101</v>
      </c>
      <c r="B2" s="13"/>
      <c r="C2" s="11"/>
      <c r="D2" s="11"/>
      <c r="E2" s="11"/>
      <c r="F2" s="11"/>
      <c r="G2" s="90" t="s">
        <v>92</v>
      </c>
      <c r="H2" s="90" t="s">
        <v>79</v>
      </c>
      <c r="I2" s="90" t="s">
        <v>171</v>
      </c>
      <c r="J2" s="91" t="s">
        <v>172</v>
      </c>
      <c r="K2" s="91" t="s">
        <v>173</v>
      </c>
      <c r="L2" s="91" t="s">
        <v>174</v>
      </c>
      <c r="M2" s="199" t="s">
        <v>3</v>
      </c>
      <c r="N2" s="91" t="s">
        <v>4</v>
      </c>
      <c r="O2" s="231" t="s">
        <v>177</v>
      </c>
      <c r="P2" s="13"/>
    </row>
    <row r="3" spans="1:2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3" t="s">
        <v>74</v>
      </c>
      <c r="B4" s="13" t="s">
        <v>175</v>
      </c>
      <c r="C4" s="13"/>
      <c r="D4" s="13"/>
      <c r="E4" s="13"/>
      <c r="F4" s="13"/>
      <c r="G4" s="13">
        <v>300</v>
      </c>
      <c r="H4" s="13">
        <v>200</v>
      </c>
      <c r="I4" s="13">
        <v>400</v>
      </c>
      <c r="J4" s="13">
        <v>450</v>
      </c>
      <c r="K4" s="13">
        <v>200</v>
      </c>
      <c r="L4" s="13">
        <v>200</v>
      </c>
      <c r="M4" s="13">
        <v>300</v>
      </c>
      <c r="N4" s="13">
        <v>300</v>
      </c>
      <c r="O4" s="13">
        <v>2000</v>
      </c>
      <c r="P4" s="13"/>
      <c r="Q4" s="13"/>
      <c r="R4" s="13"/>
      <c r="S4" s="13"/>
      <c r="T4" s="13"/>
      <c r="U4" s="13"/>
      <c r="V4" s="13">
        <v>2000</v>
      </c>
    </row>
    <row r="5" spans="1:22">
      <c r="A5" s="13"/>
      <c r="B5" s="13"/>
      <c r="C5" s="13"/>
      <c r="D5" s="13"/>
      <c r="E5" s="13"/>
      <c r="F5" s="13"/>
      <c r="G5" s="231"/>
      <c r="H5" s="13" t="s">
        <v>176</v>
      </c>
      <c r="I5" s="13" t="s">
        <v>176</v>
      </c>
      <c r="J5" s="13" t="s">
        <v>176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 t="s">
        <v>177</v>
      </c>
    </row>
    <row r="6" spans="1:22">
      <c r="A6" s="13"/>
      <c r="B6" s="13"/>
      <c r="C6" s="13"/>
      <c r="D6" s="13"/>
      <c r="E6" s="13"/>
      <c r="F6" s="13"/>
      <c r="G6" s="13"/>
      <c r="H6" s="13"/>
      <c r="I6" s="13"/>
      <c r="J6" s="13"/>
      <c r="K6" s="231" t="s">
        <v>205</v>
      </c>
      <c r="L6" s="231" t="s">
        <v>205</v>
      </c>
      <c r="M6" s="231" t="s">
        <v>205</v>
      </c>
      <c r="N6" s="231" t="s">
        <v>205</v>
      </c>
      <c r="O6" s="231" t="s">
        <v>204</v>
      </c>
      <c r="P6" s="13"/>
      <c r="Q6" s="13"/>
      <c r="R6" s="13"/>
      <c r="S6" s="13"/>
      <c r="T6" s="13"/>
      <c r="U6" s="13"/>
      <c r="V6" s="13"/>
    </row>
    <row r="7" spans="1:22">
      <c r="A7" s="13"/>
      <c r="B7" s="13"/>
      <c r="C7" s="106"/>
      <c r="D7" s="13"/>
      <c r="E7" s="13"/>
      <c r="F7" s="13"/>
      <c r="G7" s="13"/>
      <c r="H7" s="13"/>
      <c r="I7" s="13"/>
      <c r="J7" s="13"/>
      <c r="K7" s="13"/>
      <c r="L7" s="13"/>
      <c r="M7" s="13"/>
      <c r="N7" s="323">
        <v>1000</v>
      </c>
      <c r="O7" s="245">
        <v>2000</v>
      </c>
      <c r="P7" s="82"/>
    </row>
    <row r="8" spans="1:22">
      <c r="A8" s="13"/>
      <c r="B8" s="13"/>
      <c r="C8" s="106"/>
      <c r="D8" s="13"/>
      <c r="E8" s="13"/>
      <c r="F8" s="13"/>
      <c r="G8" s="13"/>
      <c r="H8" s="13"/>
      <c r="I8" s="13"/>
      <c r="J8" s="13"/>
      <c r="K8" s="13"/>
      <c r="L8" s="13"/>
      <c r="M8" s="13"/>
      <c r="N8" s="82"/>
      <c r="O8" s="77"/>
      <c r="P8" s="82"/>
    </row>
    <row r="9" spans="1:22">
      <c r="A9" s="13"/>
      <c r="B9" s="13"/>
      <c r="C9" s="106"/>
      <c r="D9" s="13"/>
      <c r="E9" s="13"/>
      <c r="F9" s="13"/>
      <c r="G9" s="13"/>
      <c r="H9" s="13"/>
      <c r="I9" s="13"/>
      <c r="J9" s="13"/>
      <c r="K9" s="13"/>
      <c r="L9" s="13"/>
      <c r="M9" s="13"/>
      <c r="N9" s="82"/>
      <c r="O9" s="13"/>
      <c r="P9" s="82"/>
    </row>
    <row r="10" spans="1:22">
      <c r="A10" s="13"/>
      <c r="B10" s="13"/>
      <c r="C10" s="10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82"/>
      <c r="O10" s="77"/>
      <c r="P10" s="82"/>
      <c r="Q10" s="200"/>
    </row>
    <row r="11" spans="1:22">
      <c r="A11" s="13"/>
      <c r="B11" s="13"/>
      <c r="C11" s="106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1"/>
      <c r="O11" s="13"/>
      <c r="P11" s="13"/>
    </row>
    <row r="12" spans="1:22">
      <c r="A12" s="13"/>
      <c r="B12" s="13"/>
      <c r="C12" s="106"/>
      <c r="D12" s="13"/>
      <c r="E12" s="13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22">
      <c r="A13" s="13"/>
      <c r="B13" s="13"/>
      <c r="C13" s="106"/>
      <c r="D13" s="13"/>
      <c r="E13" s="13"/>
      <c r="H13" s="11"/>
      <c r="I13" s="13"/>
      <c r="J13" s="13"/>
      <c r="K13" s="13"/>
      <c r="L13" s="13"/>
      <c r="M13" s="13"/>
      <c r="N13" s="13"/>
      <c r="O13" s="13"/>
      <c r="P13" s="13"/>
    </row>
    <row r="14" spans="1:22">
      <c r="A14" s="13"/>
      <c r="B14" s="13"/>
      <c r="C14" s="106"/>
      <c r="D14" s="13"/>
      <c r="E14" s="13"/>
      <c r="F14" s="11"/>
      <c r="G14" s="11"/>
      <c r="H14" s="13"/>
      <c r="I14" s="13"/>
      <c r="J14" s="13"/>
      <c r="K14" s="13"/>
      <c r="L14" s="13"/>
      <c r="M14" s="13"/>
      <c r="N14" s="13"/>
      <c r="O14" s="13"/>
      <c r="P14" s="13"/>
    </row>
    <row r="15" spans="1:22">
      <c r="A15" s="13"/>
      <c r="B15" s="13"/>
      <c r="C15" s="106"/>
      <c r="D15" s="13"/>
      <c r="E15" s="13"/>
      <c r="F15" s="13"/>
      <c r="G15" s="11"/>
      <c r="H15" s="11"/>
      <c r="I15" s="11"/>
      <c r="J15" s="13"/>
      <c r="K15" s="13"/>
      <c r="L15" s="13"/>
      <c r="M15" s="13"/>
      <c r="N15" s="13"/>
      <c r="O15" s="13"/>
      <c r="P15" s="13"/>
    </row>
    <row r="16" spans="1:22">
      <c r="A16" s="13"/>
      <c r="B16" s="13"/>
      <c r="C16" s="106"/>
      <c r="D16" s="13"/>
      <c r="E16" s="13"/>
      <c r="F16" s="13"/>
      <c r="G16" s="13"/>
      <c r="H16" s="13"/>
      <c r="I16" s="13"/>
      <c r="J16" s="13"/>
      <c r="K16" s="11"/>
      <c r="L16" s="11"/>
      <c r="M16" s="11"/>
      <c r="N16" s="13"/>
      <c r="O16" s="13"/>
      <c r="P16" s="13"/>
    </row>
    <row r="17" spans="1:16">
      <c r="A17" s="13"/>
      <c r="B17" s="13"/>
      <c r="C17" s="106"/>
      <c r="D17" s="13"/>
      <c r="E17" s="13"/>
      <c r="F17" s="13"/>
      <c r="G17" s="13"/>
      <c r="H17" s="13"/>
      <c r="I17" s="13"/>
      <c r="J17" s="13"/>
      <c r="K17" s="11"/>
      <c r="L17" s="11"/>
      <c r="M17" s="11"/>
      <c r="N17" s="13"/>
      <c r="O17" s="13"/>
      <c r="P17" s="13"/>
    </row>
    <row r="18" spans="1:16">
      <c r="A18" s="13"/>
      <c r="B18" s="13"/>
      <c r="C18" s="106"/>
      <c r="D18" s="13"/>
      <c r="E18" s="13"/>
      <c r="F18" s="13"/>
      <c r="G18" s="13"/>
      <c r="H18" s="13"/>
      <c r="I18" s="13"/>
      <c r="J18" s="13"/>
      <c r="K18" s="201"/>
      <c r="L18" s="11"/>
      <c r="M18" s="109"/>
      <c r="N18" s="13"/>
      <c r="O18" s="13"/>
      <c r="P18" s="13"/>
    </row>
    <row r="19" spans="1:16">
      <c r="A19" s="13"/>
      <c r="B19" s="13"/>
      <c r="C19" s="202"/>
      <c r="D19" s="13"/>
      <c r="E19" s="13"/>
      <c r="F19" s="13"/>
      <c r="G19" s="13"/>
      <c r="H19" s="13"/>
      <c r="I19" s="13"/>
      <c r="J19" s="13"/>
      <c r="K19" s="88"/>
      <c r="L19" s="13"/>
      <c r="M19" s="13"/>
      <c r="N19" s="13"/>
      <c r="O19" s="13"/>
      <c r="P19" s="13"/>
    </row>
    <row r="20" spans="1:16">
      <c r="A20" s="13"/>
      <c r="B20" s="13"/>
      <c r="C20" s="13"/>
      <c r="D20" s="13"/>
      <c r="E20" s="13"/>
      <c r="F20" s="13"/>
      <c r="G20" s="13"/>
      <c r="H20" s="11"/>
      <c r="I20" s="11"/>
      <c r="J20" s="13"/>
      <c r="K20" s="13"/>
      <c r="L20" s="13"/>
      <c r="M20" s="82"/>
      <c r="N20" s="13"/>
      <c r="O20" s="13"/>
      <c r="P20" s="13"/>
    </row>
    <row r="21" spans="1:1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>
      <c r="A25" s="13"/>
      <c r="B25" s="13"/>
      <c r="C25" s="13"/>
      <c r="D25" s="13"/>
      <c r="E25" s="13"/>
      <c r="F25" s="13"/>
      <c r="G25" s="13"/>
      <c r="H25" s="203"/>
      <c r="I25" s="13"/>
      <c r="J25" s="13"/>
      <c r="K25" s="13"/>
      <c r="L25" s="13"/>
      <c r="M25" s="13"/>
      <c r="N25" s="13"/>
      <c r="O25" s="13"/>
      <c r="P25" s="13"/>
    </row>
    <row r="26" spans="1:16">
      <c r="A26" s="13"/>
      <c r="B26" s="13"/>
      <c r="C26" s="13"/>
      <c r="D26" s="13"/>
      <c r="E26" s="204"/>
      <c r="F26" s="204"/>
      <c r="G26" s="204"/>
      <c r="H26" s="13"/>
      <c r="I26" s="13"/>
      <c r="J26" s="13"/>
      <c r="K26" s="13"/>
      <c r="L26" s="13"/>
      <c r="M26" s="13"/>
      <c r="N26" s="13"/>
      <c r="O26" s="13"/>
      <c r="P26" s="13"/>
    </row>
    <row r="27" spans="1:1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>
      <c r="A28" s="24"/>
      <c r="B28" s="24"/>
      <c r="C28" s="24"/>
      <c r="D28" s="24"/>
      <c r="E28" s="93"/>
      <c r="F28" s="93"/>
      <c r="G28" s="24"/>
      <c r="H28" s="24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workbookViewId="0">
      <selection activeCell="G17" sqref="G17"/>
    </sheetView>
  </sheetViews>
  <sheetFormatPr baseColWidth="10" defaultRowHeight="15"/>
  <cols>
    <col min="3" max="3" width="5.140625" customWidth="1"/>
    <col min="4" max="4" width="9.28515625" customWidth="1"/>
    <col min="8" max="8" width="11.7109375" bestFit="1" customWidth="1"/>
    <col min="14" max="14" width="13.5703125" bestFit="1" customWidth="1"/>
    <col min="15" max="15" width="13.42578125" customWidth="1"/>
  </cols>
  <sheetData>
    <row r="1" spans="1:17">
      <c r="A1" s="205" t="s">
        <v>178</v>
      </c>
      <c r="B1" s="205"/>
      <c r="C1" s="205" t="s">
        <v>179</v>
      </c>
      <c r="D1" s="205" t="s">
        <v>180</v>
      </c>
      <c r="E1" s="205" t="s">
        <v>181</v>
      </c>
      <c r="F1" s="205" t="s">
        <v>182</v>
      </c>
      <c r="G1" s="205" t="s">
        <v>183</v>
      </c>
      <c r="H1" s="205" t="s">
        <v>184</v>
      </c>
      <c r="I1" s="205" t="s">
        <v>185</v>
      </c>
      <c r="J1" s="205" t="s">
        <v>186</v>
      </c>
      <c r="K1" s="205" t="s">
        <v>187</v>
      </c>
      <c r="L1" s="11" t="s">
        <v>209</v>
      </c>
      <c r="M1" s="13" t="s">
        <v>210</v>
      </c>
      <c r="N1" s="13"/>
      <c r="O1" s="13"/>
      <c r="P1" s="13"/>
    </row>
    <row r="2" spans="1:17">
      <c r="A2" s="320" t="s">
        <v>188</v>
      </c>
      <c r="B2" s="320" t="s">
        <v>189</v>
      </c>
      <c r="C2" s="321"/>
      <c r="D2" s="322"/>
      <c r="E2" s="322">
        <v>18000</v>
      </c>
      <c r="F2" s="322">
        <v>18000</v>
      </c>
      <c r="G2" s="177"/>
      <c r="H2" s="177"/>
      <c r="I2" s="177"/>
      <c r="J2" s="177"/>
      <c r="K2" s="177"/>
      <c r="L2" s="325"/>
      <c r="M2" s="328"/>
      <c r="N2" s="207"/>
      <c r="O2" s="208"/>
      <c r="P2" s="11"/>
      <c r="Q2" s="36"/>
    </row>
    <row r="3" spans="1:17">
      <c r="A3" s="206" t="s">
        <v>190</v>
      </c>
      <c r="B3" s="206" t="s">
        <v>191</v>
      </c>
      <c r="C3" s="180"/>
      <c r="D3" s="206"/>
      <c r="E3" s="206">
        <v>35000</v>
      </c>
      <c r="F3" s="206">
        <v>35000</v>
      </c>
      <c r="G3" s="206"/>
      <c r="H3" s="206"/>
      <c r="I3" s="206"/>
      <c r="J3" s="206"/>
      <c r="K3" s="206"/>
      <c r="L3" s="331"/>
      <c r="M3" s="332"/>
      <c r="N3" s="144"/>
      <c r="O3" s="208"/>
      <c r="P3" s="11"/>
      <c r="Q3" s="36"/>
    </row>
    <row r="4" spans="1:17">
      <c r="A4" s="320" t="s">
        <v>188</v>
      </c>
      <c r="B4" s="320" t="s">
        <v>192</v>
      </c>
      <c r="C4" s="321"/>
      <c r="D4" s="320"/>
      <c r="E4" s="320">
        <v>9900</v>
      </c>
      <c r="F4" s="320">
        <v>9900</v>
      </c>
      <c r="G4" s="177"/>
      <c r="H4" s="177"/>
      <c r="I4" s="177"/>
      <c r="J4" s="177"/>
      <c r="K4" s="177"/>
      <c r="L4" s="325"/>
      <c r="M4" s="328"/>
      <c r="N4" s="144"/>
      <c r="O4" s="209"/>
      <c r="P4" s="11"/>
      <c r="Q4" s="36"/>
    </row>
    <row r="5" spans="1:17">
      <c r="A5" s="320" t="s">
        <v>188</v>
      </c>
      <c r="B5" s="320" t="s">
        <v>193</v>
      </c>
      <c r="C5" s="320"/>
      <c r="D5" s="320"/>
      <c r="E5" s="320">
        <v>57333</v>
      </c>
      <c r="F5" s="320">
        <v>57333</v>
      </c>
      <c r="G5" s="177"/>
      <c r="H5" s="177"/>
      <c r="I5" s="177"/>
      <c r="J5" s="177"/>
      <c r="K5" s="177"/>
      <c r="L5" s="325"/>
      <c r="M5" s="328"/>
      <c r="N5" s="210"/>
      <c r="O5" s="209"/>
      <c r="P5" s="11"/>
      <c r="Q5" s="36"/>
    </row>
    <row r="6" spans="1:17">
      <c r="A6" s="317" t="s">
        <v>206</v>
      </c>
      <c r="B6" s="206"/>
      <c r="C6" s="180"/>
      <c r="D6" s="206"/>
      <c r="E6" s="206">
        <v>74000</v>
      </c>
      <c r="F6" s="206">
        <v>74000</v>
      </c>
      <c r="G6" s="206">
        <v>74000</v>
      </c>
      <c r="H6" s="206"/>
      <c r="I6" s="206"/>
      <c r="J6" s="206"/>
      <c r="K6" s="206"/>
      <c r="L6" s="331"/>
      <c r="M6" s="332"/>
      <c r="N6" s="207"/>
      <c r="O6" s="53"/>
      <c r="P6" s="11"/>
      <c r="Q6" s="36"/>
    </row>
    <row r="7" spans="1:17" s="24" customFormat="1" ht="12.75" customHeight="1">
      <c r="A7" s="324" t="s">
        <v>188</v>
      </c>
      <c r="B7" s="325" t="s">
        <v>208</v>
      </c>
      <c r="C7" s="327"/>
      <c r="D7" s="325"/>
      <c r="E7" s="325">
        <v>17700</v>
      </c>
      <c r="F7" s="325">
        <v>17700</v>
      </c>
      <c r="G7" s="325">
        <v>17700</v>
      </c>
      <c r="H7" s="325">
        <v>17700</v>
      </c>
      <c r="I7" s="325">
        <v>17700</v>
      </c>
      <c r="J7" s="325">
        <v>17700</v>
      </c>
      <c r="K7" s="325">
        <v>17700</v>
      </c>
      <c r="L7" s="325">
        <v>17700</v>
      </c>
      <c r="M7" s="328">
        <v>17700</v>
      </c>
      <c r="N7" s="326"/>
      <c r="O7" s="53"/>
      <c r="P7" s="90"/>
      <c r="Q7" s="36"/>
    </row>
    <row r="8" spans="1:17">
      <c r="A8" s="318" t="s">
        <v>207</v>
      </c>
      <c r="B8" s="247"/>
      <c r="C8" s="319"/>
      <c r="D8" s="247"/>
      <c r="E8" s="247">
        <v>34000</v>
      </c>
      <c r="F8" s="247">
        <v>34000</v>
      </c>
      <c r="G8" s="247">
        <v>34000</v>
      </c>
      <c r="H8" s="247"/>
      <c r="I8" s="247"/>
      <c r="J8" s="247"/>
      <c r="K8" s="247"/>
      <c r="L8" s="247"/>
      <c r="M8" s="247"/>
      <c r="N8" s="211"/>
      <c r="O8" s="11"/>
      <c r="P8" s="11"/>
      <c r="Q8" s="36"/>
    </row>
    <row r="9" spans="1:17" ht="11.25" customHeight="1">
      <c r="A9" s="212" t="s">
        <v>195</v>
      </c>
      <c r="B9" s="212"/>
      <c r="C9" s="212"/>
      <c r="D9" s="212">
        <v>250000</v>
      </c>
      <c r="E9" s="212">
        <v>250000</v>
      </c>
      <c r="F9" s="212">
        <v>250000</v>
      </c>
      <c r="G9" s="212">
        <v>250000</v>
      </c>
      <c r="H9" s="212">
        <v>250000</v>
      </c>
      <c r="I9" s="212">
        <v>250000</v>
      </c>
      <c r="J9" s="212">
        <v>250000</v>
      </c>
      <c r="K9" s="212">
        <v>250000</v>
      </c>
      <c r="L9" s="333">
        <v>250000</v>
      </c>
      <c r="M9" s="334">
        <v>250000</v>
      </c>
      <c r="N9" s="11"/>
      <c r="O9" s="11"/>
      <c r="P9" s="11"/>
      <c r="Q9" s="36"/>
    </row>
    <row r="10" spans="1:17" ht="12.75" customHeight="1">
      <c r="A10" s="329" t="s">
        <v>30</v>
      </c>
      <c r="B10" s="330"/>
      <c r="C10" s="330"/>
      <c r="D10" s="330"/>
      <c r="E10" s="330">
        <v>4000</v>
      </c>
      <c r="F10" s="330">
        <v>4000</v>
      </c>
      <c r="G10" s="330">
        <v>125000</v>
      </c>
      <c r="H10" s="330">
        <v>232700</v>
      </c>
      <c r="I10" s="330">
        <v>232700</v>
      </c>
      <c r="J10" s="330">
        <v>232700</v>
      </c>
      <c r="K10" s="330">
        <v>232700</v>
      </c>
      <c r="L10" s="330">
        <v>232700</v>
      </c>
      <c r="M10" s="335">
        <v>232700</v>
      </c>
      <c r="N10" s="11"/>
      <c r="O10" s="109"/>
      <c r="P10" s="11"/>
      <c r="Q10" s="36"/>
    </row>
    <row r="11" spans="1:17">
      <c r="A11" s="13"/>
      <c r="B11" s="13"/>
      <c r="C11" s="11"/>
      <c r="D11" s="12"/>
      <c r="E11" s="11"/>
      <c r="F11" s="11"/>
      <c r="G11" s="11"/>
      <c r="H11" s="11"/>
      <c r="I11" s="12"/>
      <c r="J11" s="11"/>
      <c r="K11" s="11"/>
      <c r="L11" s="11"/>
      <c r="M11" s="213"/>
      <c r="N11" s="11"/>
      <c r="O11" s="11"/>
      <c r="P11" s="11"/>
      <c r="Q11" s="36"/>
    </row>
    <row r="12" spans="1:17">
      <c r="A12" s="13"/>
      <c r="B12" s="13"/>
      <c r="C12" s="11"/>
      <c r="D12" s="12"/>
      <c r="E12" s="11"/>
      <c r="F12" s="11"/>
      <c r="G12" s="11"/>
      <c r="H12" s="11"/>
      <c r="I12" s="12"/>
      <c r="J12" s="11"/>
      <c r="K12" s="72"/>
      <c r="L12" s="214"/>
      <c r="M12" s="215"/>
      <c r="N12" s="11"/>
      <c r="O12" s="11"/>
      <c r="P12" s="11"/>
      <c r="Q12" s="36"/>
    </row>
    <row r="13" spans="1:17">
      <c r="A13" s="91"/>
      <c r="B13" s="13"/>
      <c r="C13" s="11"/>
      <c r="D13" s="11"/>
      <c r="E13" s="11"/>
      <c r="F13" s="11"/>
      <c r="G13" s="11"/>
      <c r="H13" s="11"/>
      <c r="I13" s="12"/>
      <c r="J13" s="11"/>
      <c r="K13" s="72"/>
      <c r="L13" s="214"/>
      <c r="M13" s="214"/>
      <c r="N13" s="11"/>
      <c r="O13" s="109"/>
      <c r="P13" s="11"/>
      <c r="Q13" s="36"/>
    </row>
    <row r="14" spans="1:17">
      <c r="A14" s="91"/>
      <c r="B14" s="13"/>
      <c r="C14" s="11"/>
      <c r="D14" s="11"/>
      <c r="E14" s="11"/>
      <c r="F14" s="12"/>
      <c r="G14" s="11"/>
      <c r="H14" s="11"/>
      <c r="I14" s="12"/>
      <c r="J14" s="11"/>
      <c r="K14" s="72"/>
      <c r="L14" s="214"/>
      <c r="M14" s="214"/>
      <c r="N14" s="11"/>
      <c r="O14" s="72"/>
      <c r="P14" s="11"/>
      <c r="Q14" s="36"/>
    </row>
    <row r="15" spans="1:17">
      <c r="A15" s="91"/>
      <c r="B15" s="13"/>
      <c r="C15" s="11"/>
      <c r="D15" s="11"/>
      <c r="E15" s="11"/>
      <c r="F15" s="12"/>
      <c r="G15" s="11"/>
      <c r="H15" s="109"/>
      <c r="I15" s="12"/>
      <c r="J15" s="11"/>
      <c r="K15" s="72"/>
      <c r="L15" s="214"/>
      <c r="M15" s="214"/>
      <c r="N15" s="201"/>
      <c r="O15" s="216"/>
      <c r="P15" s="11"/>
      <c r="Q15" s="36"/>
    </row>
    <row r="16" spans="1:17">
      <c r="A16" s="13"/>
      <c r="B16" s="13"/>
      <c r="C16" s="11"/>
      <c r="D16" s="11"/>
      <c r="E16" s="11"/>
      <c r="F16" s="11"/>
      <c r="G16" s="11"/>
      <c r="H16" s="11"/>
      <c r="I16" s="12"/>
      <c r="J16" s="11"/>
      <c r="K16" s="11"/>
      <c r="L16" s="11"/>
      <c r="M16" s="11"/>
      <c r="N16" s="201"/>
      <c r="O16" s="217"/>
      <c r="P16" s="11"/>
      <c r="Q16" s="36"/>
    </row>
    <row r="17" spans="1:17">
      <c r="A17" s="13"/>
      <c r="B17" s="13"/>
      <c r="C17" s="11"/>
      <c r="D17" s="11"/>
      <c r="E17" s="11"/>
      <c r="F17" s="11"/>
      <c r="G17" s="11"/>
      <c r="H17" s="109"/>
      <c r="I17" s="12"/>
      <c r="J17" s="11"/>
      <c r="K17" s="11"/>
      <c r="L17" s="11"/>
      <c r="M17" s="11"/>
      <c r="N17" s="201"/>
      <c r="O17" s="217"/>
      <c r="P17" s="11"/>
      <c r="Q17" s="36"/>
    </row>
    <row r="18" spans="1:17">
      <c r="A18" s="13"/>
      <c r="B18" s="13"/>
      <c r="C18" s="11"/>
      <c r="D18" s="11"/>
      <c r="E18" s="11"/>
      <c r="F18" s="11"/>
      <c r="G18" s="11"/>
      <c r="H18" s="11"/>
      <c r="I18" s="12"/>
      <c r="J18" s="11"/>
      <c r="K18" s="11"/>
      <c r="L18" s="11"/>
      <c r="M18" s="11"/>
      <c r="N18" s="201"/>
      <c r="O18" s="217"/>
      <c r="P18" s="11"/>
      <c r="Q18" s="36"/>
    </row>
    <row r="19" spans="1:17">
      <c r="A19" s="13"/>
      <c r="B19" s="13"/>
      <c r="C19" s="11"/>
      <c r="D19" s="12"/>
      <c r="E19" s="11"/>
      <c r="F19" s="11"/>
      <c r="G19" s="12"/>
      <c r="H19" s="11"/>
      <c r="I19" s="12"/>
      <c r="J19" s="11"/>
      <c r="K19" s="11"/>
      <c r="L19" s="11"/>
      <c r="M19" s="11"/>
      <c r="N19" s="201"/>
      <c r="O19" s="214"/>
      <c r="P19" s="11"/>
      <c r="Q19" s="36"/>
    </row>
    <row r="20" spans="1:17">
      <c r="A20" s="13"/>
      <c r="B20" s="13"/>
      <c r="C20" s="11"/>
      <c r="D20" s="12"/>
      <c r="E20" s="11"/>
      <c r="F20" s="11"/>
      <c r="G20" s="11"/>
      <c r="H20" s="11"/>
      <c r="I20" s="12"/>
      <c r="J20" s="11"/>
      <c r="K20" s="11"/>
      <c r="L20" s="201"/>
      <c r="M20" s="11"/>
      <c r="N20" s="218"/>
      <c r="O20" s="214"/>
      <c r="P20" s="11"/>
      <c r="Q20" s="36"/>
    </row>
    <row r="21" spans="1:17" ht="18.75">
      <c r="A21" s="13"/>
      <c r="B21" s="13"/>
      <c r="C21" s="11"/>
      <c r="D21" s="12"/>
      <c r="E21" s="11"/>
      <c r="F21" s="11"/>
      <c r="G21" s="11"/>
      <c r="H21" s="72"/>
      <c r="I21" s="12"/>
      <c r="J21" s="11"/>
      <c r="K21" s="11"/>
      <c r="L21" s="11"/>
      <c r="M21" s="219"/>
      <c r="N21" s="220"/>
      <c r="O21" s="217"/>
      <c r="P21" s="109"/>
      <c r="Q21" s="36"/>
    </row>
    <row r="22" spans="1:17">
      <c r="A22" s="13"/>
      <c r="B22" s="13"/>
      <c r="C22" s="11"/>
      <c r="D22" s="12"/>
      <c r="E22" s="11"/>
      <c r="F22" s="11"/>
      <c r="G22" s="11"/>
      <c r="H22" s="11"/>
      <c r="I22" s="12"/>
      <c r="J22" s="11"/>
      <c r="K22" s="11"/>
      <c r="L22" s="11"/>
      <c r="M22" s="11"/>
      <c r="N22" s="218"/>
      <c r="O22" s="11"/>
      <c r="P22" s="201"/>
      <c r="Q22" s="36"/>
    </row>
    <row r="23" spans="1:17">
      <c r="A23" s="13"/>
      <c r="B23" s="13"/>
      <c r="C23" s="11"/>
      <c r="D23" s="12"/>
      <c r="E23" s="11"/>
      <c r="F23" s="11"/>
      <c r="G23" s="11"/>
      <c r="H23" s="11"/>
      <c r="I23" s="12"/>
      <c r="J23" s="221"/>
      <c r="K23" s="12"/>
      <c r="L23" s="11"/>
      <c r="M23" s="11"/>
      <c r="N23" s="222"/>
      <c r="O23" s="11"/>
      <c r="P23" s="11"/>
      <c r="Q23" s="36"/>
    </row>
    <row r="24" spans="1:17">
      <c r="A24" s="13"/>
      <c r="B24" s="13"/>
      <c r="C24" s="11"/>
      <c r="D24" s="12"/>
      <c r="E24" s="11"/>
      <c r="F24" s="11"/>
      <c r="G24" s="11"/>
      <c r="H24" s="11"/>
      <c r="I24" s="12"/>
      <c r="J24" s="11"/>
      <c r="K24" s="11"/>
      <c r="L24" s="11"/>
      <c r="M24" s="11"/>
      <c r="N24" s="11"/>
      <c r="O24" s="11"/>
      <c r="P24" s="11"/>
      <c r="Q24" s="36"/>
    </row>
    <row r="25" spans="1:17">
      <c r="A25" s="13"/>
      <c r="B25" s="13"/>
      <c r="C25" s="11"/>
      <c r="D25" s="12"/>
      <c r="E25" s="11"/>
      <c r="F25" s="11"/>
      <c r="G25" s="11"/>
      <c r="H25" s="11"/>
      <c r="I25" s="12"/>
      <c r="J25" s="11"/>
      <c r="K25" s="11"/>
      <c r="L25" s="11"/>
      <c r="M25" s="11"/>
      <c r="N25" s="11"/>
      <c r="O25" s="11"/>
      <c r="P25" s="11"/>
      <c r="Q25" s="36"/>
    </row>
    <row r="26" spans="1:17">
      <c r="A26" s="13"/>
      <c r="B26" s="13"/>
      <c r="C26" s="11"/>
      <c r="D26" s="11"/>
      <c r="E26" s="11"/>
      <c r="F26" s="11"/>
      <c r="G26" s="11"/>
      <c r="H26" s="11"/>
      <c r="I26" s="12"/>
      <c r="J26" s="11"/>
      <c r="K26" s="11"/>
      <c r="L26" s="11"/>
      <c r="M26" s="11"/>
      <c r="N26" s="11"/>
      <c r="O26" s="11"/>
      <c r="P26" s="11"/>
      <c r="Q26" s="36"/>
    </row>
    <row r="27" spans="1:17">
      <c r="A27" s="13"/>
      <c r="B27" s="13"/>
      <c r="C27" s="11"/>
      <c r="D27" s="12"/>
      <c r="E27" s="11"/>
      <c r="F27" s="11"/>
      <c r="G27" s="11"/>
      <c r="H27" s="11"/>
      <c r="I27" s="12"/>
      <c r="J27" s="11"/>
      <c r="K27" s="11"/>
      <c r="L27" s="11"/>
      <c r="M27" s="11"/>
      <c r="N27" s="11"/>
      <c r="O27" s="11"/>
      <c r="P27" s="11"/>
      <c r="Q27" s="36"/>
    </row>
    <row r="28" spans="1:17">
      <c r="A28" s="13"/>
      <c r="B28" s="13"/>
      <c r="C28" s="11"/>
      <c r="D28" s="12"/>
      <c r="E28" s="11"/>
      <c r="F28" s="11"/>
      <c r="G28" s="11"/>
      <c r="H28" s="11"/>
      <c r="I28" s="12"/>
      <c r="J28" s="11"/>
      <c r="K28" s="11"/>
      <c r="L28" s="11"/>
      <c r="M28" s="11"/>
      <c r="N28" s="11"/>
      <c r="O28" s="11"/>
      <c r="P28" s="11"/>
      <c r="Q28" s="36"/>
    </row>
    <row r="29" spans="1:17">
      <c r="A29" s="13"/>
      <c r="B29" s="13"/>
      <c r="C29" s="11"/>
      <c r="D29" s="12"/>
      <c r="E29" s="11"/>
      <c r="F29" s="11"/>
      <c r="G29" s="11"/>
      <c r="H29" s="109"/>
      <c r="I29" s="12"/>
      <c r="J29" s="11"/>
      <c r="K29" s="11"/>
      <c r="L29" s="11"/>
      <c r="M29" s="11"/>
      <c r="N29" s="11"/>
      <c r="O29" s="11"/>
      <c r="P29" s="11"/>
      <c r="Q29" s="36"/>
    </row>
    <row r="30" spans="1:17">
      <c r="A30" s="13"/>
      <c r="B30" s="13"/>
      <c r="C30" s="11"/>
      <c r="D30" s="12"/>
      <c r="E30" s="11"/>
      <c r="F30" s="11"/>
      <c r="G30" s="11"/>
      <c r="H30" s="109"/>
      <c r="I30" s="12"/>
      <c r="J30" s="11"/>
      <c r="K30" s="11"/>
      <c r="L30" s="11"/>
      <c r="M30" s="11"/>
      <c r="N30" s="11"/>
      <c r="O30" s="11"/>
      <c r="P30" s="11"/>
      <c r="Q30" s="36"/>
    </row>
    <row r="31" spans="1:17">
      <c r="A31" s="13"/>
      <c r="B31" s="1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36"/>
    </row>
    <row r="32" spans="1:17">
      <c r="A32" s="13"/>
      <c r="B32" s="13"/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36"/>
    </row>
    <row r="33" spans="1:17">
      <c r="A33" s="13"/>
      <c r="B33" s="1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36"/>
    </row>
    <row r="34" spans="1:17"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Gastos</vt:lpstr>
      <vt:lpstr>Naranja</vt:lpstr>
      <vt:lpstr>cuentas y claves</vt:lpstr>
      <vt:lpstr>Ahorros</vt:lpstr>
      <vt:lpstr>Gastos personales Erica</vt:lpstr>
      <vt:lpstr>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KBza</dc:creator>
  <cp:lastModifiedBy>Usuario</cp:lastModifiedBy>
  <cp:revision>1</cp:revision>
  <dcterms:created xsi:type="dcterms:W3CDTF">2016-02-15T22:24:04Z</dcterms:created>
  <dcterms:modified xsi:type="dcterms:W3CDTF">2026-05-22T22:46:05Z</dcterms:modified>
</cp:coreProperties>
</file>